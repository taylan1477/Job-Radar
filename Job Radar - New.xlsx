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İlanlar" sheetId="1" r:id="rId5"/>
  </sheets>
  <definedNames/>
  <calcPr/>
</workbook>
</file>

<file path=xl/sharedStrings.xml><?xml version="1.0" encoding="utf-8"?>
<sst xmlns="http://schemas.openxmlformats.org/spreadsheetml/2006/main" count="1538" uniqueCount="503">
  <si>
    <t>Başlık</t>
  </si>
  <si>
    <t>Firma</t>
  </si>
  <si>
    <t>Alan</t>
  </si>
  <si>
    <t>Lokasyon</t>
  </si>
  <si>
    <t>Level</t>
  </si>
  <si>
    <t>Skor</t>
  </si>
  <si>
    <t>Link</t>
  </si>
  <si>
    <t>Tarih</t>
  </si>
  <si>
    <t>Durum</t>
  </si>
  <si>
    <t>Junior Game Developer</t>
  </si>
  <si>
    <t>Good Job Games</t>
  </si>
  <si>
    <t>gamedev</t>
  </si>
  <si>
    <t>türkiye</t>
  </si>
  <si>
    <t>junior</t>
  </si>
  <si>
    <t>Başvuruldu</t>
  </si>
  <si>
    <t>Part-Time Working Student (Software Engineering) for Talents with Disabilities</t>
  </si>
  <si>
    <t>Siemens</t>
  </si>
  <si>
    <t>yazılım</t>
  </si>
  <si>
    <t>ankara</t>
  </si>
  <si>
    <t>Süre Bitti</t>
  </si>
  <si>
    <t>Software Engineer, Games (New Grad)</t>
  </si>
  <si>
    <t>Peak</t>
  </si>
  <si>
    <t>c#</t>
  </si>
  <si>
    <t>Junior Software Engineer (Turkey)</t>
  </si>
  <si>
    <t>Sezzle</t>
  </si>
  <si>
    <t>Software Engineer (New Grad)</t>
  </si>
  <si>
    <t>Dream Games</t>
  </si>
  <si>
    <t>Jr. Software Developer</t>
  </si>
  <si>
    <t>Bundle</t>
  </si>
  <si>
    <t>Junior Software Engineer with Accounting Experience</t>
  </si>
  <si>
    <t>Software Engineer - New Grad</t>
  </si>
  <si>
    <t>Software Engineer, Fullstack (New Grad)</t>
  </si>
  <si>
    <t>Codeway</t>
  </si>
  <si>
    <t>Yazılım Stajyeri</t>
  </si>
  <si>
    <t>Software Persona</t>
  </si>
  <si>
    <t>Entry-Level AI Data Rater - Swedish (Latvia)</t>
  </si>
  <si>
    <t>Swedish (Latvia)</t>
  </si>
  <si>
    <t>python</t>
  </si>
  <si>
    <t>Ulaşılamaz</t>
  </si>
  <si>
    <t>Mid-Level Software Engineer (C#.NET) with Media Experience</t>
  </si>
  <si>
    <t>Telestream</t>
  </si>
  <si>
    <t>remote</t>
  </si>
  <si>
    <t>mid</t>
  </si>
  <si>
    <t>SEO Specialist Intern</t>
  </si>
  <si>
    <t>diğer</t>
  </si>
  <si>
    <t>Game Developer (Playable Ads)</t>
  </si>
  <si>
    <t>Loop Games</t>
  </si>
  <si>
    <t>bilinmiyor</t>
  </si>
  <si>
    <t>Game Designer</t>
  </si>
  <si>
    <t>Panteon</t>
  </si>
  <si>
    <t>Reddedildi</t>
  </si>
  <si>
    <t>Kotlin Game Developer</t>
  </si>
  <si>
    <t>Magic Media</t>
  </si>
  <si>
    <t>Level Designer (Remote)</t>
  </si>
  <si>
    <t>APPS</t>
  </si>
  <si>
    <t>Lead Unity Engineer (Full Stack / Generalist)</t>
  </si>
  <si>
    <t>Otsimo</t>
  </si>
  <si>
    <t>C++ Programmer</t>
  </si>
  <si>
    <t>Unreal Engine Developer</t>
  </si>
  <si>
    <t>Operative Games</t>
  </si>
  <si>
    <t>Unity Game Developer; Remote</t>
  </si>
  <si>
    <t>THNDR</t>
  </si>
  <si>
    <t>comparis.ch: Experienced Full-Stack Software Engineer (.NET/React), 80–100% (f/m/x), fully remote</t>
  </si>
  <si>
    <t>frontend</t>
  </si>
  <si>
    <t>Software Engineer, MLS</t>
  </si>
  <si>
    <t>Udemy</t>
  </si>
  <si>
    <t>Yapay Zeka Mühendisi</t>
  </si>
  <si>
    <t>AKGÜN</t>
  </si>
  <si>
    <t>Favori</t>
  </si>
  <si>
    <t>.NET Yazılım Uzmanı/Ankara</t>
  </si>
  <si>
    <t>Innova</t>
  </si>
  <si>
    <t>Design Engineer</t>
  </si>
  <si>
    <t>Hilti Türkiye</t>
  </si>
  <si>
    <t>System Engineer</t>
  </si>
  <si>
    <t>Innovance Consultancy</t>
  </si>
  <si>
    <t>Software Engineer - SaaS Platform &amp; Asset Management - Türkiye</t>
  </si>
  <si>
    <t>JumpCloud</t>
  </si>
  <si>
    <t>Test Automation Engineer (On-Site)</t>
  </si>
  <si>
    <t>Clario</t>
  </si>
  <si>
    <t>Software Engineer - Data Infrastructure</t>
  </si>
  <si>
    <t>Canonical</t>
  </si>
  <si>
    <t>Remote Part Time Therapist - IA</t>
  </si>
  <si>
    <t>IA</t>
  </si>
  <si>
    <t>c++</t>
  </si>
  <si>
    <t>Speechify Inc: Software Engineer, iOS Core Product</t>
  </si>
  <si>
    <t>Analyst I</t>
  </si>
  <si>
    <t>XTN-A46E595 | CUSTOMER SERVICE REPRESENTATIVE – INTERMEDIATE</t>
  </si>
  <si>
    <t>GoFasti: Product Designer (UI/UX – Web Application)</t>
  </si>
  <si>
    <t>mobile</t>
  </si>
  <si>
    <t>Startupz.com: Front End Developer (HTML &amp; CSS)</t>
  </si>
  <si>
    <t>Frontend Yazılım Mühendisi</t>
  </si>
  <si>
    <t>Aselsan</t>
  </si>
  <si>
    <t>Frontend Developer (iOS, Android &amp; Web)</t>
  </si>
  <si>
    <t>İZ Human Resource</t>
  </si>
  <si>
    <t>Yazılım Mühendisi (Frontend-React)</t>
  </si>
  <si>
    <t>BİTES - Defence &amp; Aerospace Technologies</t>
  </si>
  <si>
    <t>Sistem Test Mühendisi (Embedded Systems, Backend &amp; Front-end)</t>
  </si>
  <si>
    <t>Rail Acoustic</t>
  </si>
  <si>
    <t>Full Stack Engineer (Backend Heavy)</t>
  </si>
  <si>
    <t>ADL Kurumsal Hizmetler</t>
  </si>
  <si>
    <t>backend</t>
  </si>
  <si>
    <t>Full-Stack Yazılım Geliştirici (Python + React)</t>
  </si>
  <si>
    <t>Sinyalizasyon Elektronik</t>
  </si>
  <si>
    <t>Full Stack Developer (Node.js &amp; React.js)</t>
  </si>
  <si>
    <t>Mobiversite</t>
  </si>
  <si>
    <t>WordPress Web Developer / WordPress Geliştiricisi</t>
  </si>
  <si>
    <t>Alakazam Rekam ve Tasarım Dükkanı</t>
  </si>
  <si>
    <t>Engineering Comfort Solutions: Web Developer</t>
  </si>
  <si>
    <t>UX Copywriter - Remote</t>
  </si>
  <si>
    <t>Remote</t>
  </si>
  <si>
    <t>Uncanny Owl: WordPress Developer</t>
  </si>
  <si>
    <t>DreamRider Productions Careers: Web Developer</t>
  </si>
  <si>
    <t>Webflow: Enterprise Account Executive - West</t>
  </si>
  <si>
    <t>West</t>
  </si>
  <si>
    <t>java</t>
  </si>
  <si>
    <t>ALIQAN Technologies: Commerce Tools + Node JS + Cloud</t>
  </si>
  <si>
    <t>Cortes 23: Software Engineer</t>
  </si>
  <si>
    <t>Fresher Game Developer Jobs in Baltimore</t>
  </si>
  <si>
    <t>Cosmoquick</t>
  </si>
  <si>
    <t>Game Developer</t>
  </si>
  <si>
    <t>Rovio Entertainment</t>
  </si>
  <si>
    <t>Paxie Games</t>
  </si>
  <si>
    <t>Unity &amp; Simülasyon Geliştirici</t>
  </si>
  <si>
    <t>Anadolu Robotik</t>
  </si>
  <si>
    <t>Game / Level Designer</t>
  </si>
  <si>
    <t>ROQ GAMES</t>
  </si>
  <si>
    <t>Joygame Publishing</t>
  </si>
  <si>
    <t>Live-Ops Game Designer - Mobile F2P</t>
  </si>
  <si>
    <t>UserWise</t>
  </si>
  <si>
    <t>Oyun Geliştirici</t>
  </si>
  <si>
    <t>Bambu Games Yazılım Sanayi ve Ticaret A.Ş.</t>
  </si>
  <si>
    <t>Unreal Engine Game Developer</t>
  </si>
  <si>
    <t>Leartes</t>
  </si>
  <si>
    <t>Unreal Engine Tool Developer</t>
  </si>
  <si>
    <t>3D Game Artist</t>
  </si>
  <si>
    <t>Last Games</t>
  </si>
  <si>
    <t>2D/3D Game Artist</t>
  </si>
  <si>
    <t>R2D Games</t>
  </si>
  <si>
    <t>Leke Games</t>
  </si>
  <si>
    <t>3D Artist - KONYA</t>
  </si>
  <si>
    <t>TwinUp - Digital Twin Technologies</t>
  </si>
  <si>
    <t>Yazılım Geliştirme Mühendisi (Fiori/Abap)</t>
  </si>
  <si>
    <t>TEI - TUSAŞ Engine Industries, Inc.</t>
  </si>
  <si>
    <t>Yazılım Geliştirme Mühendisi (Mendix)</t>
  </si>
  <si>
    <t>Summer Camp Coding, Digital Arts, or Game Development Assistant Instructor</t>
  </si>
  <si>
    <t>Black Rocket Productions</t>
  </si>
  <si>
    <t>Unity Developer</t>
  </si>
  <si>
    <t>STR</t>
  </si>
  <si>
    <t>Unity Game Developer</t>
  </si>
  <si>
    <t>Apps1010 Limited</t>
  </si>
  <si>
    <t>#12615 - Unity &amp; C# Prototype Developer | AR/VR | Onsite at Qualitest Washington DC</t>
  </si>
  <si>
    <t>Qualitest</t>
  </si>
  <si>
    <t>Engine Programmer, UEFN</t>
  </si>
  <si>
    <t>Epic Games</t>
  </si>
  <si>
    <t>Lead Engine Programmer</t>
  </si>
  <si>
    <t>Project Developer, Virginia Serious Game Institute (VSGI)</t>
  </si>
  <si>
    <t>George Mason University</t>
  </si>
  <si>
    <t>Game Developer/Designer - C++ UNREAL ..004</t>
  </si>
  <si>
    <t>RHI</t>
  </si>
  <si>
    <t>Gameplay Engineer</t>
  </si>
  <si>
    <t>Disney Experiences</t>
  </si>
  <si>
    <t>Teknoloji ve Akıllı Sistemler Mühendisi</t>
  </si>
  <si>
    <t>Görüntü İşleme Yazılım Mühendisi</t>
  </si>
  <si>
    <t>ATEŞ LABS</t>
  </si>
  <si>
    <t>cv</t>
  </si>
  <si>
    <t>Sinyal Analiz Yazılım Mühendisi</t>
  </si>
  <si>
    <t>Yazılım Mühendisi</t>
  </si>
  <si>
    <t>Yazılım Uzmanı</t>
  </si>
  <si>
    <t>Confidential</t>
  </si>
  <si>
    <t>Stabilize Sistemler Algoritma Tasarım Mühendisi</t>
  </si>
  <si>
    <t>Javascript / PHP Engineer (Full-time Telecommute)</t>
  </si>
  <si>
    <t>Sr. Software Developer</t>
  </si>
  <si>
    <t>NetVision Resources, Inc</t>
  </si>
  <si>
    <t>Software Development Engineer</t>
  </si>
  <si>
    <t>Data Analyst - Growth</t>
  </si>
  <si>
    <t>Rollic</t>
  </si>
  <si>
    <t>Software Engineer</t>
  </si>
  <si>
    <t>Yazılım Geliştirme Mühendisi (.Net/Angular)</t>
  </si>
  <si>
    <t>Deloitte</t>
  </si>
  <si>
    <t>Software Developer (.NET)</t>
  </si>
  <si>
    <t>adesso Turkey</t>
  </si>
  <si>
    <t>AT in .NET - Fundamentals</t>
  </si>
  <si>
    <t>EPAM Systems</t>
  </si>
  <si>
    <t>Software Developer</t>
  </si>
  <si>
    <t>Chippin</t>
  </si>
  <si>
    <t>Crs Soft</t>
  </si>
  <si>
    <t>Software Developer - Micro Integration Architecture</t>
  </si>
  <si>
    <t>Intertech Information Technology and Marketing Inc.</t>
  </si>
  <si>
    <t>Appsilon Enterprise</t>
  </si>
  <si>
    <t>Physics Researcher (Python) - Freelance AI Trainer</t>
  </si>
  <si>
    <t>Freelance AI Trainer</t>
  </si>
  <si>
    <t>Cloud Networking Engineer</t>
  </si>
  <si>
    <t>Occupational Therapist, Rehab at Home- (Nassau, Part Time)</t>
  </si>
  <si>
    <t>Home- (Nassau, Part Time)</t>
  </si>
  <si>
    <t>ADP Test Automation - Script Development Level 2</t>
  </si>
  <si>
    <t>Script Development Level 2</t>
  </si>
  <si>
    <t>WeVote: Fundraiser, Volunteer Ambassador</t>
  </si>
  <si>
    <t>Dealer eProcess: Regional Sales Executive (Account Manager)</t>
  </si>
  <si>
    <t>Remote Estimating Assistant / Procurement Coordinator</t>
  </si>
  <si>
    <t>Dijital Süreç Uzmanı (Test)</t>
  </si>
  <si>
    <t>Infera Teknoloji</t>
  </si>
  <si>
    <t>FT Administrative Coordinator - Work From Home</t>
  </si>
  <si>
    <t>Work From Home</t>
  </si>
  <si>
    <t>Epic Analyst "Clinical/Nursing" Emphasis (Telecommute within 100 miles)</t>
  </si>
  <si>
    <t>(American English) Customer Support Consultant</t>
  </si>
  <si>
    <t>Account Manager- North &amp; Central FL</t>
  </si>
  <si>
    <t>Territory Manager (PCP) (Tacoma WA)</t>
  </si>
  <si>
    <t>Nurse Case Manager - Tulsa, OK Area - Remote</t>
  </si>
  <si>
    <t>ChristianaCare Neuroradiologist 100% Remote with Sign-on!</t>
  </si>
  <si>
    <t>US Virtual - Healthcare Call Center Representative - Work from Home</t>
  </si>
  <si>
    <t>Work from Home</t>
  </si>
  <si>
    <t>Psychiatric Nurse Practitioner (PMHNP-BC) - Fall River, MA</t>
  </si>
  <si>
    <t>Fall River, MA</t>
  </si>
  <si>
    <t>Remote Bilingual Home Patient Representatives (Canada)</t>
  </si>
  <si>
    <t>Backend Engineer</t>
  </si>
  <si>
    <t>Vertigo Games</t>
  </si>
  <si>
    <t>Backend Developer</t>
  </si>
  <si>
    <t>Developer</t>
  </si>
  <si>
    <t>n11</t>
  </si>
  <si>
    <t>Full-stack (Node.js/React.js) LTC</t>
  </si>
  <si>
    <t>Altamira</t>
  </si>
  <si>
    <t>Software Engineer, Backend (AI Agent)</t>
  </si>
  <si>
    <t>Sr. C# Developer</t>
  </si>
  <si>
    <t>System One Holdings, LLC</t>
  </si>
  <si>
    <t>Department Administrator II</t>
  </si>
  <si>
    <t>Tools Programmer</t>
  </si>
  <si>
    <t>IO Interactive</t>
  </si>
  <si>
    <t>Yazılım Geliştirme Mühendisi</t>
  </si>
  <si>
    <t>DZD Teknoloji</t>
  </si>
  <si>
    <t>Burgan Bank Türkiye</t>
  </si>
  <si>
    <t>Werkstudent TikTok Shop Live - all genders</t>
  </si>
  <si>
    <t>all genders</t>
  </si>
  <si>
    <t>AI Programmer Unreal Engine 5</t>
  </si>
  <si>
    <t>Sperasoft</t>
  </si>
  <si>
    <t>Regional Strategic Customer Representative - Climate Control</t>
  </si>
  <si>
    <t>Climate Control</t>
  </si>
  <si>
    <t>Physical Therapist - Atrium Health at Home Blue Ridge - FT</t>
  </si>
  <si>
    <t>Home Blue Ridge - FT</t>
  </si>
  <si>
    <t>Life &amp; Annuities Customer Support – US</t>
  </si>
  <si>
    <t>Zero Trust Project Lead</t>
  </si>
  <si>
    <t>Blender - 2nd Shift</t>
  </si>
  <si>
    <t>2nd Shift</t>
  </si>
  <si>
    <t>Conductor/Switchman</t>
  </si>
  <si>
    <t>Growth Manager</t>
  </si>
  <si>
    <t>Product Manager - New Games</t>
  </si>
  <si>
    <t>Product Manager - Puzzle Games</t>
  </si>
  <si>
    <t>Future Squad Kısa Dönem Staj Programı 2026</t>
  </si>
  <si>
    <t>Yapı Kredi Teknoloji</t>
  </si>
  <si>
    <t>Yazılım Geliştirme Uzmanı</t>
  </si>
  <si>
    <t>PınarOnline</t>
  </si>
  <si>
    <t>AKULAR</t>
  </si>
  <si>
    <t>Software Engineer, C# ​/ Unity Developer, Full Stack Developer</t>
  </si>
  <si>
    <t>Cinteot</t>
  </si>
  <si>
    <t>Game Programmer</t>
  </si>
  <si>
    <t>Goresdigitaltech</t>
  </si>
  <si>
    <t>Phone Auditor</t>
  </si>
  <si>
    <t>Physician-Geriatrics- Home Based Primary Care-Grand Rapids, MI</t>
  </si>
  <si>
    <t>IT Infrastructure Project Manager – PKI Automation &amp; Certificate Management</t>
  </si>
  <si>
    <t>Backend PHP Developer (Symfony) - Intermediate Level (m/f/d)</t>
  </si>
  <si>
    <t>Intermediate Level (m/f/d)</t>
  </si>
  <si>
    <t>IND_75806753_Supervisor Finance</t>
  </si>
  <si>
    <t>Development Engineer</t>
  </si>
  <si>
    <t>Data Scientist</t>
  </si>
  <si>
    <t>Licensed Civil Engineer - Site Design</t>
  </si>
  <si>
    <t>Site Design</t>
  </si>
  <si>
    <t>ServiceNow Developer</t>
  </si>
  <si>
    <t>Business Development Manager</t>
  </si>
  <si>
    <t>Vice President of Business Development - 3PL Product Fulfillment &amp; eCommerce</t>
  </si>
  <si>
    <t>3PL Product Fulfillment &amp; eCommerce</t>
  </si>
  <si>
    <t>XTN-31C9813 | REACT / NEXT.JS DEVELOPER</t>
  </si>
  <si>
    <t>EHR Project Consultant</t>
  </si>
  <si>
    <t>SAP BTP CAP Developer</t>
  </si>
  <si>
    <t>MSP Level 3 Technician</t>
  </si>
  <si>
    <t>Informatics Analyst II</t>
  </si>
  <si>
    <t>Steuerberater:in - (d/f/m)</t>
  </si>
  <si>
    <t>(d/f/m)</t>
  </si>
  <si>
    <t>avrupa</t>
  </si>
  <si>
    <t>School Quality Assurance &amp; Standards Lead</t>
  </si>
  <si>
    <t>Senior Game Developer</t>
  </si>
  <si>
    <t>senior</t>
  </si>
  <si>
    <t>Senior Gameplay Systems Programmer, Unreal Engine</t>
  </si>
  <si>
    <t>Jobright.ai</t>
  </si>
  <si>
    <t>Senior Gameplay Programmer</t>
  </si>
  <si>
    <t>AGBO Films LLC</t>
  </si>
  <si>
    <t>AGBO</t>
  </si>
  <si>
    <t>Behavior Technician (ESN)</t>
  </si>
  <si>
    <t>Field Nurse Educator –Kansas City W, KS</t>
  </si>
  <si>
    <t>Nurse Manager I, Care at Home (Hospice experience required)</t>
  </si>
  <si>
    <t>Home (Hospice experience required)</t>
  </si>
  <si>
    <t>Clinician</t>
  </si>
  <si>
    <t>Account Executive, PEO (SMB)</t>
  </si>
  <si>
    <t>User Acquisition Manager</t>
  </si>
  <si>
    <t>Saginaw County Assistance Payments Worker 8-11</t>
  </si>
  <si>
    <t>Hiring Task-Based Helpers for Seniors in San Mateo, CA</t>
  </si>
  <si>
    <t>DIETITIAN</t>
  </si>
  <si>
    <t>Disability &amp; Leave Claims Manager</t>
  </si>
  <si>
    <t>Registered Behavior Technician RBT</t>
  </si>
  <si>
    <t>RN, Hospice (Call-In, Home Based) (19)</t>
  </si>
  <si>
    <t>Compliance Officer &amp; MLRO, Singapore</t>
  </si>
  <si>
    <t>Prosthetist and/or Orthotist Clinician $20,000 Sign On much more!</t>
  </si>
  <si>
    <t>Knowledge &amp; Help Center Manager</t>
  </si>
  <si>
    <t>Test and Integration Planner</t>
  </si>
  <si>
    <t>Care Pro</t>
  </si>
  <si>
    <t>User Experience Manager - Robotics</t>
  </si>
  <si>
    <t>Robotics</t>
  </si>
  <si>
    <t>Internal Auditor</t>
  </si>
  <si>
    <t>Epic Ambulatory/ Rehab Analyst</t>
  </si>
  <si>
    <t>Podcast Booker</t>
  </si>
  <si>
    <t>Senior Software Engineer (Full Stack)</t>
  </si>
  <si>
    <t>PROFEN</t>
  </si>
  <si>
    <t>Embedded Linux Senior Software Engineer - Optimisation</t>
  </si>
  <si>
    <t>Senior Fullstack Engineer (FE-focused) — Monetisation Team (f/m/d)</t>
  </si>
  <si>
    <t>Pet Media Group (PMG)</t>
  </si>
  <si>
    <t>Senior C# .Net Software Developer - Work From Home</t>
  </si>
  <si>
    <t>Microsoft Power BI / Data Analytics Specialist - Full Remote - Contactor</t>
  </si>
  <si>
    <t>Contactor</t>
  </si>
  <si>
    <t>Data Quality/ETL Specialist - FULLY REMOTE - Contractor in USD</t>
  </si>
  <si>
    <t>Contractor in USD</t>
  </si>
  <si>
    <t>Stellar AI: Senior Software Engineer</t>
  </si>
  <si>
    <t>Senior Manager, S/4HANA Data, Analytics &amp; Reporting</t>
  </si>
  <si>
    <t>Senior Product Manager - AI Capture</t>
  </si>
  <si>
    <t>AI Capture</t>
  </si>
  <si>
    <t>Zipdev: Senior Web Developer</t>
  </si>
  <si>
    <t>Senior Frontend Software Engineer (Ankara, Turkey)</t>
  </si>
  <si>
    <t>OnePIN, Inc.</t>
  </si>
  <si>
    <t>Senior Frontend Developer</t>
  </si>
  <si>
    <t>Jotform</t>
  </si>
  <si>
    <t>OnTheGoSystems: Senior PHP Developer</t>
  </si>
  <si>
    <t>Walker Smith: Senior Web Developer (Remote)</t>
  </si>
  <si>
    <t>Eran Group: Senior Back-End Web Developer</t>
  </si>
  <si>
    <t>Optimization Specialist-REMOTE or HYBRID</t>
  </si>
  <si>
    <t>Senior Java Developer - Full remote - Salary in USD</t>
  </si>
  <si>
    <t>Salary in USD</t>
  </si>
  <si>
    <t>Details: Senior Web Application Developer</t>
  </si>
  <si>
    <t>Kıdemli Backend Yazılım Uzmanı</t>
  </si>
  <si>
    <t>Karel</t>
  </si>
  <si>
    <t>Senior Backend Engineer</t>
  </si>
  <si>
    <t>Bumper</t>
  </si>
  <si>
    <t>Senior Full Stack Developer</t>
  </si>
  <si>
    <t>inavitas</t>
  </si>
  <si>
    <t>Senior Full Stack Developer JS - EdTech</t>
  </si>
  <si>
    <t>Paradox EN</t>
  </si>
  <si>
    <t>Senior PHP Developer</t>
  </si>
  <si>
    <t>Senior UI Developer</t>
  </si>
  <si>
    <t>OnTheGoSystems: Senior Ruby on Rails Developer</t>
  </si>
  <si>
    <t>WALTER: Senior Software Engineer</t>
  </si>
  <si>
    <t>Clerk: Senior Software Engineer, Growth</t>
  </si>
  <si>
    <t>Unity Game Developer (Mid/Senior)</t>
  </si>
  <si>
    <t>Joker Games</t>
  </si>
  <si>
    <t>Unity Game Developer (Mid / Senior)</t>
  </si>
  <si>
    <t>ZOIHUB</t>
  </si>
  <si>
    <t>Senior Unity Developer</t>
  </si>
  <si>
    <t>SuperGears Games</t>
  </si>
  <si>
    <t>Bigger Games</t>
  </si>
  <si>
    <t>Senior Game Designer</t>
  </si>
  <si>
    <t>Mob Entertainment</t>
  </si>
  <si>
    <t>Senior Producer, Game Features</t>
  </si>
  <si>
    <t>Senior Frontend Unreal Engine Developer</t>
  </si>
  <si>
    <t>LyteForge</t>
  </si>
  <si>
    <t>Senior Game Developer (On-site)</t>
  </si>
  <si>
    <t>Mavis Games</t>
  </si>
  <si>
    <t>Holago Games</t>
  </si>
  <si>
    <t>Unity3D VR Developer (Mid/Senior)</t>
  </si>
  <si>
    <t>JUNOSIS TECHNOLOGY</t>
  </si>
  <si>
    <t>Spyke Games</t>
  </si>
  <si>
    <t>Senior Game Designer/Level Designer</t>
  </si>
  <si>
    <t>Senior Mobile Game Engineer</t>
  </si>
  <si>
    <t>Zynga</t>
  </si>
  <si>
    <t>ragns</t>
  </si>
  <si>
    <t>Principal Physics Programmer - Unreal Engine Simulation</t>
  </si>
  <si>
    <t>Senior Systems Programmer</t>
  </si>
  <si>
    <t>Bethesda Game Studios</t>
  </si>
  <si>
    <t>Senior Server Programmer</t>
  </si>
  <si>
    <t>Uzman Yazılım Mühendisi</t>
  </si>
  <si>
    <t>STM</t>
  </si>
  <si>
    <t>Kıdemli Yazılım Uzmanı</t>
  </si>
  <si>
    <t>Bilkent Holding A.Ş.</t>
  </si>
  <si>
    <t>Kıdemli Yazılım Mühendisi</t>
  </si>
  <si>
    <t>Senior Full Stack Engineer (Python/React) - Ankara, TR</t>
  </si>
  <si>
    <t>TrustLab</t>
  </si>
  <si>
    <t>Clinical Specialist, Coronary - Crown Point, IN</t>
  </si>
  <si>
    <t>Crown Point, IN</t>
  </si>
  <si>
    <t>Senior Software Developer</t>
  </si>
  <si>
    <t>GTech</t>
  </si>
  <si>
    <t>Senior Software Engineer - (C#/Microservices/Azure)</t>
  </si>
  <si>
    <t>GEICO</t>
  </si>
  <si>
    <t>Senior .Net/C# Developer</t>
  </si>
  <si>
    <t>COGNITIVE MEDICAL SYSTEMS INC</t>
  </si>
  <si>
    <t>Senior Sales Engineer, Strategic (EMEA - French/English)</t>
  </si>
  <si>
    <t>French/English)</t>
  </si>
  <si>
    <t>Senior Infrastructure Engineer/SRE</t>
  </si>
  <si>
    <t>Senior Software Engineer, Games</t>
  </si>
  <si>
    <t>Senior C/C++ Software Developer</t>
  </si>
  <si>
    <t>Zenarmor</t>
  </si>
  <si>
    <t>Senior Software Engineer (C#)</t>
  </si>
  <si>
    <t>Constructor Tech</t>
  </si>
  <si>
    <t>Senior Software Developer (.NET)</t>
  </si>
  <si>
    <t>Senior Software Developer (Java, Python) GameDev 🏆</t>
  </si>
  <si>
    <t>SimVentions</t>
  </si>
  <si>
    <t>Senior .NET C# Developer</t>
  </si>
  <si>
    <t>Gainwell Technologies</t>
  </si>
  <si>
    <t>Senior Director, Client Management</t>
  </si>
  <si>
    <t>Principal Engineer</t>
  </si>
  <si>
    <t>2K</t>
  </si>
  <si>
    <t>Enrollment Specialist 1</t>
  </si>
  <si>
    <t>Customer Care Specialist - Work From Home</t>
  </si>
  <si>
    <t>Kıdemli Yazılım Geliştirme Uzmanı</t>
  </si>
  <si>
    <t>Başarsoft</t>
  </si>
  <si>
    <t>Test Kıdemli Uzmanı/Ankara</t>
  </si>
  <si>
    <t>Senior IT Infrastructure Project Manager – Security &amp; Certificate Automation (IA</t>
  </si>
  <si>
    <t>Remote Property Customer Support / Administration Specialist (19)</t>
  </si>
  <si>
    <t>Client Support Specialist - Greater Philadelphia, PA Area (38)</t>
  </si>
  <si>
    <t>Greater Philadelphia, PA Area (38)</t>
  </si>
  <si>
    <t>AVP/ Senior Broker, Commercial Lines (Charlotte or remote) (35)</t>
  </si>
  <si>
    <t>TurboTax Product Specialist (WFH) - Certification Bonus included! (60472)</t>
  </si>
  <si>
    <t>Certification Bonus included! (60472)</t>
  </si>
  <si>
    <t>Product Support Specialist - REMOTE Opportunity! (63017)</t>
  </si>
  <si>
    <t>REMOTE Opportunity! (63017)</t>
  </si>
  <si>
    <t>TurboTax Product Specialist (Work From Home!) (60106)</t>
  </si>
  <si>
    <t>Work From Home TurboTax Product Expert - $$$ Certification Bonus (60007)</t>
  </si>
  <si>
    <t>$$$ Certification Bonus (60007)</t>
  </si>
  <si>
    <t>Work From Home TurboTax Product Expert - No Tax Experience Required (60443)</t>
  </si>
  <si>
    <t>No Tax Experience Required (60443)</t>
  </si>
  <si>
    <t>Work From Home TurboTax Product Expert - No Tax Experience Required (46034)</t>
  </si>
  <si>
    <t>No Tax Experience Required (46034)</t>
  </si>
  <si>
    <t>Work From Home TurboTax Product Expert - No Tax Experience Required (37014)</t>
  </si>
  <si>
    <t>No Tax Experience Required (37014)</t>
  </si>
  <si>
    <t>Remote - Senior Payroll Administrative</t>
  </si>
  <si>
    <t>Senior Payroll Administrative</t>
  </si>
  <si>
    <t>Work From Home TurboTax Product Expert - No Tax Experience Required (46176)</t>
  </si>
  <si>
    <t>No Tax Experience Required (46176)</t>
  </si>
  <si>
    <t>Product Support Specialist - REMOTE Opportunity! (78234)</t>
  </si>
  <si>
    <t>REMOTE Opportunity! (78234)</t>
  </si>
  <si>
    <t>Remote Customer Support Specialist - Choose your Schedule (37179)</t>
  </si>
  <si>
    <t>Choose your Schedule (37179)</t>
  </si>
  <si>
    <t>Sr C# Developer - Public Trust</t>
  </si>
  <si>
    <t>PEAK Technical Staffing USA</t>
  </si>
  <si>
    <t>Senior Security Solutions Engineer</t>
  </si>
  <si>
    <t>Senior Frontend Developer (Games)</t>
  </si>
  <si>
    <t>Jobgether</t>
  </si>
  <si>
    <t>Senior Backend Developer [Payments]</t>
  </si>
  <si>
    <t>Depixen</t>
  </si>
  <si>
    <t>Senior C# Developer</t>
  </si>
  <si>
    <t>Robert Half</t>
  </si>
  <si>
    <t>SENIOR DEVELOPER (BACKEND)</t>
  </si>
  <si>
    <t>Turkcell</t>
  </si>
  <si>
    <t>Senior Backend Programmer</t>
  </si>
  <si>
    <t>ZeniMax Media Inc.</t>
  </si>
  <si>
    <t>Senior Salesforce Developer/Agentforce</t>
  </si>
  <si>
    <t>Senior Full-Stack Engineer (Back-End Focus) - Software</t>
  </si>
  <si>
    <t>Software</t>
  </si>
  <si>
    <t>Senior Gameplay AI Programmer, UEFN</t>
  </si>
  <si>
    <t>Kıdemli AXAP Yazılım Uzmanı</t>
  </si>
  <si>
    <t>Cengiz Holding</t>
  </si>
  <si>
    <t>Kıdemli Yazılım Geliştirme Mühendisi</t>
  </si>
  <si>
    <t>Tatilsepeti</t>
  </si>
  <si>
    <t>Remote Sensing Software Engineering Manager</t>
  </si>
  <si>
    <t>lead</t>
  </si>
  <si>
    <t>Yapay Zeka Yazılım Geliştirme Takım Lideri</t>
  </si>
  <si>
    <t>Senior Spine Animator - Forever Franchise (Gaming)</t>
  </si>
  <si>
    <t>Homa</t>
  </si>
  <si>
    <t>Yazılım Geliştirme Kıdemli Uzmanı</t>
  </si>
  <si>
    <t>CK Enerji</t>
  </si>
  <si>
    <t>Logo Yazılım</t>
  </si>
  <si>
    <t>Eksim Holding</t>
  </si>
  <si>
    <t>C# Yazılım Kıdemli Uzmanı</t>
  </si>
  <si>
    <t>Yıldızlar Yatırım Holding</t>
  </si>
  <si>
    <t>Yazılım Geliştirme ve Endüstriyel Uygulamalar Kıdemli Uzmanı</t>
  </si>
  <si>
    <t>Assan Bilişim</t>
  </si>
  <si>
    <t>Ductless Technical Specialist</t>
  </si>
  <si>
    <t>Tech Lead, Android Core Product - Ankara, Turkey</t>
  </si>
  <si>
    <t>Speechify</t>
  </si>
  <si>
    <t>Senior Unreal Engine Lead Programmer</t>
  </si>
  <si>
    <t>Firaxis Games</t>
  </si>
  <si>
    <t>Lead Developer Community Manager — Unreal Engine &amp; UEFN</t>
  </si>
  <si>
    <t>Epic Games, Inc.</t>
  </si>
  <si>
    <t>Senior C#/.Net Developer (15+ Years of Exp)</t>
  </si>
  <si>
    <t>LendingPad Corp</t>
  </si>
  <si>
    <t>Senior Software Engineer - (.Net/C#/Go/Microservices) - *HYBRID*</t>
  </si>
  <si>
    <t>Senior C#/.NET Developer</t>
  </si>
  <si>
    <t>LendingPad</t>
  </si>
  <si>
    <t>Financial Reporting &amp; Automation Specialist (Excel-Focused) - EST Hours</t>
  </si>
  <si>
    <t>EST Hours</t>
  </si>
  <si>
    <t>Sr Operations Research Analyst /Data Science</t>
  </si>
  <si>
    <t>Principal Software Engineer</t>
  </si>
  <si>
    <t>Senior R&amp;D Team Lead (Software &amp; Electronics) | AI, Embedded &amp; Full-Stack Architect</t>
  </si>
  <si>
    <t>Senior Software Engineer - Frontend - Growth Insights</t>
  </si>
  <si>
    <t>Growth Insights</t>
  </si>
  <si>
    <t>Remote - Payroll Team Lead</t>
  </si>
  <si>
    <t>Payroll Team Lead</t>
  </si>
  <si>
    <t>Senior Projektentwickler:in für Erneuerbare Energieprojekte (all genders)</t>
  </si>
  <si>
    <t>(Senior) CRM Manager (m/w/d)</t>
  </si>
  <si>
    <t>Technical Lead-App Development</t>
  </si>
  <si>
    <t>Content &amp; Community Specialist</t>
  </si>
  <si>
    <t>Family Care Specialist</t>
  </si>
  <si>
    <t>Staff Accountant</t>
  </si>
  <si>
    <t>Senior Product Manager</t>
  </si>
  <si>
    <t>Operations Specialist</t>
  </si>
  <si>
    <t>ITW Welding Product Specialist - Ontario Canada</t>
  </si>
  <si>
    <t>Ontario Canada</t>
  </si>
  <si>
    <t>Procurement Specialist</t>
  </si>
  <si>
    <t>Yazılım Destek Takım Lideri</t>
  </si>
  <si>
    <t>Octet Turkey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</si>
</sst>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yyyy-mm-dd"/>
  </numFmts>
  <fonts count="4">
    <font>
      <sz val="10.0"/>
      <color rgb="FF000000"/>
      <name val="Arial"/>
      <scheme val="minor"/>
    </font>
    <font>
      <color rgb="FFEFEFEF"/>
      <name val="Open Sans"/>
    </font>
    <font>
      <u/>
      <color rgb="FFEFEFEF"/>
      <name val="Open Sans"/>
    </font>
    <font>
      <u/>
      <color rgb="FFEFEFEF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202124"/>
        <bgColor rgb="FF20212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vertical="center"/>
    </xf>
    <xf borderId="0" fillId="2" fontId="1" numFmtId="164" xfId="0" applyAlignment="1" applyFont="1" applyNumberFormat="1">
      <alignment horizontal="left" readingOrder="0" vertical="center"/>
    </xf>
    <xf borderId="0" fillId="2" fontId="2" numFmtId="0" xfId="0" applyAlignment="1" applyFont="1">
      <alignment horizontal="left" shrinkToFit="0" vertical="center" wrapText="0"/>
    </xf>
    <xf borderId="0" fillId="2" fontId="1" numFmtId="165" xfId="0" applyAlignment="1" applyFont="1" applyNumberFormat="1">
      <alignment horizontal="left" readingOrder="0" vertical="center"/>
    </xf>
    <xf borderId="0" fillId="2" fontId="1" numFmtId="0" xfId="0" applyAlignment="1" applyFont="1">
      <alignment horizontal="left" vertical="center"/>
    </xf>
    <xf borderId="0" fillId="2" fontId="1" numFmtId="165" xfId="0" applyAlignment="1" applyFont="1" applyNumberFormat="1">
      <alignment horizontal="left" vertical="center"/>
    </xf>
    <xf borderId="0" fillId="2" fontId="3" numFmtId="0" xfId="0" applyAlignment="1" applyFont="1">
      <alignment horizontal="left" readingOrder="0" vertical="center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1E4733"/>
          <bgColor rgb="FF1E4733"/>
        </patternFill>
      </fill>
      <border/>
    </dxf>
    <dxf>
      <font/>
      <fill>
        <patternFill patternType="solid">
          <fgColor rgb="FF594C26"/>
          <bgColor rgb="FF594C26"/>
        </patternFill>
      </fill>
      <border/>
    </dxf>
    <dxf>
      <font/>
      <fill>
        <patternFill patternType="solid">
          <fgColor rgb="FF38513F"/>
          <bgColor rgb="FF38513F"/>
        </patternFill>
      </fill>
      <border/>
    </dxf>
    <dxf>
      <font/>
      <fill>
        <patternFill patternType="solid">
          <fgColor rgb="FF592626"/>
          <bgColor rgb="FF592626"/>
        </patternFill>
      </fill>
      <border/>
    </dxf>
    <dxf>
      <font/>
      <fill>
        <patternFill patternType="solid">
          <fgColor rgb="FF26593A"/>
          <bgColor rgb="FF26593A"/>
        </patternFill>
      </fill>
      <border/>
    </dxf>
    <dxf>
      <font/>
      <fill>
        <patternFill patternType="solid">
          <fgColor rgb="FF7A601E"/>
          <bgColor rgb="FF7A601E"/>
        </patternFill>
      </fill>
      <border/>
    </dxf>
    <dxf>
      <font/>
      <fill>
        <patternFill patternType="solid">
          <fgColor rgb="FF33603F"/>
          <bgColor rgb="FF33603F"/>
        </patternFill>
      </fill>
      <border/>
    </dxf>
    <dxf>
      <font/>
      <fill>
        <patternFill patternType="solid">
          <fgColor rgb="FF722D2D"/>
          <bgColor rgb="FF722D2D"/>
        </patternFill>
      </fill>
      <border/>
    </dxf>
    <dxf>
      <font/>
      <fill>
        <patternFill patternType="solid">
          <fgColor rgb="FF4CCC4C"/>
          <bgColor rgb="FF4CCC4C"/>
        </patternFill>
      </fill>
      <border/>
    </dxf>
    <dxf>
      <font/>
      <fill>
        <patternFill patternType="solid">
          <fgColor rgb="FFE5CC4C"/>
          <bgColor rgb="FFE5CC4C"/>
        </patternFill>
      </fill>
      <border/>
    </dxf>
    <dxf>
      <font/>
      <fill>
        <patternFill patternType="solid">
          <fgColor rgb="FF7FB27F"/>
          <bgColor rgb="FF7FB27F"/>
        </patternFill>
      </fill>
      <border/>
    </dxf>
    <dxf>
      <font/>
      <fill>
        <patternFill patternType="solid">
          <fgColor rgb="FFCC5959"/>
          <bgColor rgb="FFCC5959"/>
        </patternFill>
      </fill>
      <border/>
    </dxf>
    <dxf>
      <font/>
      <fill>
        <patternFill patternType="solid">
          <fgColor rgb="FF00CC00"/>
          <bgColor rgb="FF00CC00"/>
        </patternFill>
      </fill>
      <border/>
    </dxf>
    <dxf>
      <font/>
      <fill>
        <patternFill patternType="solid">
          <fgColor rgb="FFFFE533"/>
          <bgColor rgb="FFFFE533"/>
        </patternFill>
      </fill>
      <border/>
    </dxf>
    <dxf>
      <font/>
      <fill>
        <patternFill patternType="solid">
          <fgColor rgb="FF99E599"/>
          <bgColor rgb="FF99E599"/>
        </patternFill>
      </fill>
      <border/>
    </dxf>
    <dxf>
      <font/>
      <fill>
        <patternFill patternType="solid">
          <fgColor rgb="FFE53333"/>
          <bgColor rgb="FFE53333"/>
        </patternFill>
      </fill>
      <border/>
    </dxf>
    <dxf>
      <font/>
      <fill>
        <patternFill patternType="solid">
          <fgColor rgb="FFB5E5A5"/>
          <bgColor rgb="FFB5E5A5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solid">
          <fgColor rgb="FFD8EAD3"/>
          <bgColor rgb="FFD8EAD3"/>
        </patternFill>
      </fill>
      <border/>
    </dxf>
    <dxf>
      <font/>
      <fill>
        <patternFill patternType="solid">
          <fgColor rgb="FFF2C6C1"/>
          <bgColor rgb="FFF2C6C1"/>
        </patternFill>
      </fill>
      <border/>
    </dxf>
    <dxf>
      <font>
        <b/>
      </font>
      <fill>
        <patternFill patternType="solid">
          <fgColor rgb="FF85200C"/>
          <bgColor rgb="FF85200C"/>
        </patternFill>
      </fill>
      <border/>
    </dxf>
  </dxfs>
  <tableStyles count="1">
    <tableStyle count="4" pivot="0" name="İlanl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I1" displayName="İş_İlanları" name="İş_İlanları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İlanl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obright.ai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0.13"/>
    <col customWidth="1" min="2" max="2" width="24.0"/>
    <col customWidth="1" min="3" max="3" width="11.38"/>
    <col customWidth="1" min="4" max="4" width="9.5"/>
    <col customWidth="1" min="5" max="5" width="10.5"/>
    <col customWidth="1" min="6" max="6" width="8.0"/>
    <col customWidth="1" min="7" max="7" width="13.75"/>
    <col customWidth="1" min="8" max="8" width="13.13"/>
    <col customWidth="1" min="9" max="9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4.2</v>
      </c>
      <c r="G2" s="4" t="str">
        <f>HYPERLINK("https://tr.linkedin.com/jobs/view/junior-game-developer-at-good-job-games-4336647211", "LinkedIn")</f>
        <v>LinkedIn</v>
      </c>
      <c r="H2" s="5">
        <v>46062.0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13</v>
      </c>
      <c r="F3" s="3">
        <v>4.1</v>
      </c>
      <c r="G3" s="4" t="str">
        <f>HYPERLINK("https://tr.linkedin.com/jobs/view/part-time-working-student-software-engineering-for-talents-with-disabilities-at-siemens-4321497082", "LinkedIn")</f>
        <v>LinkedIn</v>
      </c>
      <c r="H3" s="5">
        <v>46048.0</v>
      </c>
      <c r="I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12</v>
      </c>
      <c r="E4" s="2" t="s">
        <v>13</v>
      </c>
      <c r="F4" s="3">
        <v>3.9</v>
      </c>
      <c r="G4" s="4" t="str">
        <f>HYPERLINK("https://tr.linkedin.com/jobs/view/software-engineer-games-new-grad-at-peak-4227285827", "LinkedIn")</f>
        <v>LinkedIn</v>
      </c>
      <c r="H4" s="5">
        <v>46058.0</v>
      </c>
      <c r="I4" s="2" t="s">
        <v>14</v>
      </c>
    </row>
    <row r="5">
      <c r="A5" s="2" t="s">
        <v>23</v>
      </c>
      <c r="B5" s="2" t="s">
        <v>24</v>
      </c>
      <c r="C5" s="2" t="s">
        <v>22</v>
      </c>
      <c r="D5" s="2" t="s">
        <v>12</v>
      </c>
      <c r="E5" s="2" t="s">
        <v>13</v>
      </c>
      <c r="F5" s="3">
        <v>3.9</v>
      </c>
      <c r="G5" s="4" t="str">
        <f>HYPERLINK("https://tr.linkedin.com/jobs/view/junior-software-engineer-turkey-at-sezzle-4346705101", "LinkedIn")</f>
        <v>LinkedIn</v>
      </c>
      <c r="H5" s="5">
        <v>46067.0</v>
      </c>
      <c r="I5" s="2" t="s">
        <v>14</v>
      </c>
    </row>
    <row r="6">
      <c r="A6" s="2" t="s">
        <v>25</v>
      </c>
      <c r="B6" s="2" t="s">
        <v>26</v>
      </c>
      <c r="C6" s="2" t="s">
        <v>22</v>
      </c>
      <c r="D6" s="2" t="s">
        <v>12</v>
      </c>
      <c r="E6" s="2" t="s">
        <v>13</v>
      </c>
      <c r="F6" s="3">
        <v>3.9</v>
      </c>
      <c r="G6" s="4" t="str">
        <f>HYPERLINK("https://tr.linkedin.com/jobs/view/software-engineer-new-grad-at-dream-games-3976007336", "LinkedIn")</f>
        <v>LinkedIn</v>
      </c>
      <c r="H6" s="5">
        <v>46055.0</v>
      </c>
      <c r="I6" s="2" t="s">
        <v>14</v>
      </c>
    </row>
    <row r="7">
      <c r="A7" s="2" t="s">
        <v>27</v>
      </c>
      <c r="B7" s="2" t="s">
        <v>28</v>
      </c>
      <c r="C7" s="2" t="s">
        <v>22</v>
      </c>
      <c r="D7" s="2" t="s">
        <v>12</v>
      </c>
      <c r="E7" s="2" t="s">
        <v>13</v>
      </c>
      <c r="F7" s="3">
        <v>3.9</v>
      </c>
      <c r="G7" s="4" t="str">
        <f>HYPERLINK("https://tr.linkedin.com/jobs/view/jr-software-developer-at-bundle-4363005569", "LinkedIn")</f>
        <v>LinkedIn</v>
      </c>
      <c r="H7" s="5">
        <v>46063.0</v>
      </c>
      <c r="I7" s="2" t="s">
        <v>14</v>
      </c>
    </row>
    <row r="8">
      <c r="A8" s="2" t="s">
        <v>29</v>
      </c>
      <c r="B8" s="2" t="s">
        <v>24</v>
      </c>
      <c r="C8" s="2" t="s">
        <v>22</v>
      </c>
      <c r="D8" s="2" t="s">
        <v>12</v>
      </c>
      <c r="E8" s="2" t="s">
        <v>13</v>
      </c>
      <c r="F8" s="3">
        <v>3.9</v>
      </c>
      <c r="G8" s="4" t="str">
        <f>HYPERLINK("https://tr.linkedin.com/jobs/view/junior-software-engineer-with-accounting-experience-at-sezzle-4323946645", "LinkedIn")</f>
        <v>LinkedIn</v>
      </c>
      <c r="H8" s="5">
        <v>46061.0</v>
      </c>
      <c r="I8" s="2" t="s">
        <v>14</v>
      </c>
    </row>
    <row r="9">
      <c r="A9" s="2" t="s">
        <v>30</v>
      </c>
      <c r="B9" s="2" t="s">
        <v>10</v>
      </c>
      <c r="C9" s="2" t="s">
        <v>22</v>
      </c>
      <c r="D9" s="2" t="s">
        <v>12</v>
      </c>
      <c r="E9" s="2" t="s">
        <v>13</v>
      </c>
      <c r="F9" s="3">
        <v>3.9</v>
      </c>
      <c r="G9" s="4" t="str">
        <f>HYPERLINK("https://tr.linkedin.com/jobs/view/software-engineer-new-grad-at-good-job-games-4346621184", "LinkedIn")</f>
        <v>LinkedIn</v>
      </c>
      <c r="H9" s="5">
        <v>46048.0</v>
      </c>
      <c r="I9" s="2" t="s">
        <v>14</v>
      </c>
    </row>
    <row r="10">
      <c r="A10" s="2" t="s">
        <v>31</v>
      </c>
      <c r="B10" s="2" t="s">
        <v>32</v>
      </c>
      <c r="C10" s="2" t="s">
        <v>22</v>
      </c>
      <c r="D10" s="2" t="s">
        <v>12</v>
      </c>
      <c r="E10" s="2" t="s">
        <v>13</v>
      </c>
      <c r="F10" s="3">
        <v>3.9</v>
      </c>
      <c r="G10" s="4" t="str">
        <f>HYPERLINK("https://tr.linkedin.com/jobs/view/software-engineer-fullstack-new-grad-at-codeway-4345850349", "LinkedIn")</f>
        <v>LinkedIn</v>
      </c>
      <c r="H10" s="5">
        <v>46055.0</v>
      </c>
      <c r="I10" s="2" t="s">
        <v>14</v>
      </c>
    </row>
    <row r="11">
      <c r="A11" s="2" t="s">
        <v>33</v>
      </c>
      <c r="B11" s="2" t="s">
        <v>34</v>
      </c>
      <c r="C11" s="2" t="s">
        <v>22</v>
      </c>
      <c r="D11" s="2" t="s">
        <v>12</v>
      </c>
      <c r="E11" s="2" t="s">
        <v>13</v>
      </c>
      <c r="F11" s="3">
        <v>3.9</v>
      </c>
      <c r="G11" s="4" t="str">
        <f>HYPERLINK("https://tr.linkedin.com/jobs/view/yaz%C4%B1l%C4%B1m-stajyeri-at-software-persona-4373551055", "LinkedIn")</f>
        <v>LinkedIn</v>
      </c>
      <c r="H11" s="5">
        <v>46069.0</v>
      </c>
      <c r="I11" s="2" t="s">
        <v>19</v>
      </c>
    </row>
    <row r="12">
      <c r="A12" s="2" t="s">
        <v>35</v>
      </c>
      <c r="B12" s="2" t="s">
        <v>36</v>
      </c>
      <c r="C12" s="2" t="s">
        <v>37</v>
      </c>
      <c r="D12" s="2" t="s">
        <v>12</v>
      </c>
      <c r="E12" s="2" t="s">
        <v>13</v>
      </c>
      <c r="F12" s="3">
        <v>3.9</v>
      </c>
      <c r="G12" s="4" t="str">
        <f>HYPERLINK("https://himalayas.app/companies/welocalize/jobs/entry-level-ai-data-rater-swedish-latvia", "Himalayas")</f>
        <v>Himalayas</v>
      </c>
      <c r="H12" s="5">
        <v>46069.0</v>
      </c>
      <c r="I12" s="2" t="s">
        <v>38</v>
      </c>
    </row>
    <row r="13">
      <c r="A13" s="2" t="s">
        <v>39</v>
      </c>
      <c r="B13" s="2" t="s">
        <v>40</v>
      </c>
      <c r="C13" s="2" t="s">
        <v>22</v>
      </c>
      <c r="D13" s="2" t="s">
        <v>41</v>
      </c>
      <c r="E13" s="2" t="s">
        <v>42</v>
      </c>
      <c r="F13" s="3">
        <v>3.8</v>
      </c>
      <c r="G13" s="4" t="str">
        <f>HYPERLINK("https://www.linkedin.com/jobs/view/mid-level-software-engineer-c%23-net-with-media-experience-at-telestream-4369658433?utm_campaign=google_jobs_apply&amp;utm_source=google_jobs_apply&amp;utm_medium=organic", "LinkedIn")</f>
        <v>LinkedIn</v>
      </c>
      <c r="H13" s="5">
        <v>46059.0</v>
      </c>
      <c r="I13" s="2" t="s">
        <v>19</v>
      </c>
    </row>
    <row r="14">
      <c r="A14" s="2" t="s">
        <v>43</v>
      </c>
      <c r="B14" s="2"/>
      <c r="C14" s="2" t="s">
        <v>44</v>
      </c>
      <c r="D14" s="2" t="s">
        <v>41</v>
      </c>
      <c r="E14" s="2" t="s">
        <v>13</v>
      </c>
      <c r="F14" s="3">
        <v>3.8</v>
      </c>
      <c r="G14" s="4" t="str">
        <f>HYPERLINK("https://himalayas.app/companies/abhyaz/jobs/seo-specialist-intern-7008758653", "Himalayas")</f>
        <v>Himalayas</v>
      </c>
      <c r="H14" s="5">
        <v>46069.0</v>
      </c>
      <c r="I14" s="2" t="s">
        <v>19</v>
      </c>
    </row>
    <row r="15">
      <c r="A15" s="2" t="s">
        <v>45</v>
      </c>
      <c r="B15" s="2" t="s">
        <v>46</v>
      </c>
      <c r="C15" s="2" t="s">
        <v>11</v>
      </c>
      <c r="D15" s="2" t="s">
        <v>18</v>
      </c>
      <c r="E15" s="2" t="s">
        <v>47</v>
      </c>
      <c r="F15" s="3">
        <v>3.5</v>
      </c>
      <c r="G15" s="4" t="str">
        <f>HYPERLINK("https://tr.linkedin.com/jobs/view/game-developer-playable-ads-at-loop-games-4347412377", "LinkedIn")</f>
        <v>LinkedIn</v>
      </c>
      <c r="H15" s="5">
        <v>46049.0</v>
      </c>
      <c r="I15" s="2" t="s">
        <v>14</v>
      </c>
    </row>
    <row r="16">
      <c r="A16" s="2" t="s">
        <v>48</v>
      </c>
      <c r="B16" s="2" t="s">
        <v>49</v>
      </c>
      <c r="C16" s="2" t="s">
        <v>11</v>
      </c>
      <c r="D16" s="2" t="s">
        <v>18</v>
      </c>
      <c r="E16" s="2" t="s">
        <v>47</v>
      </c>
      <c r="F16" s="3">
        <v>3.5</v>
      </c>
      <c r="G16" s="4" t="str">
        <f>HYPERLINK("https://tr.linkedin.com/jobs/view/game-designer-at-panteon-4370666906", "LinkedIn")</f>
        <v>LinkedIn</v>
      </c>
      <c r="H16" s="5">
        <v>46063.0</v>
      </c>
      <c r="I16" s="2" t="s">
        <v>50</v>
      </c>
    </row>
    <row r="17">
      <c r="A17" s="2" t="s">
        <v>51</v>
      </c>
      <c r="B17" s="2" t="s">
        <v>52</v>
      </c>
      <c r="C17" s="2" t="s">
        <v>11</v>
      </c>
      <c r="D17" s="2" t="s">
        <v>18</v>
      </c>
      <c r="E17" s="2" t="s">
        <v>47</v>
      </c>
      <c r="F17" s="3">
        <v>3.5</v>
      </c>
      <c r="G17" s="4" t="str">
        <f>HYPERLINK("https://tr.linkedin.com/jobs/view/kotlin-game-developer-at-magic-media-4364276994", "LinkedIn")</f>
        <v>LinkedIn</v>
      </c>
      <c r="H17" s="5">
        <v>46042.0</v>
      </c>
      <c r="I17" s="2" t="s">
        <v>14</v>
      </c>
    </row>
    <row r="18">
      <c r="A18" s="2" t="s">
        <v>53</v>
      </c>
      <c r="B18" s="2" t="s">
        <v>54</v>
      </c>
      <c r="C18" s="2" t="s">
        <v>11</v>
      </c>
      <c r="D18" s="2" t="s">
        <v>41</v>
      </c>
      <c r="E18" s="2" t="s">
        <v>47</v>
      </c>
      <c r="F18" s="3">
        <v>3.5</v>
      </c>
      <c r="G18" s="4" t="str">
        <f>HYPERLINK("https://tr.linkedin.com/jobs/view/level-designer-remote-at-apps-4370425185", "LinkedIn")</f>
        <v>LinkedIn</v>
      </c>
      <c r="H18" s="5">
        <v>46062.0</v>
      </c>
      <c r="I18" s="2" t="s">
        <v>14</v>
      </c>
    </row>
    <row r="19">
      <c r="A19" s="2" t="s">
        <v>55</v>
      </c>
      <c r="B19" s="2" t="s">
        <v>56</v>
      </c>
      <c r="C19" s="2" t="s">
        <v>11</v>
      </c>
      <c r="D19" s="2" t="s">
        <v>18</v>
      </c>
      <c r="E19" s="2" t="s">
        <v>47</v>
      </c>
      <c r="F19" s="3">
        <v>3.5</v>
      </c>
      <c r="G19" s="4" t="str">
        <f>HYPERLINK("https://tr.linkedin.com/jobs/view/lead-unity-engineer-full-stack-generalist-at-otsimo-4355941690", "LinkedIn")</f>
        <v>LinkedIn</v>
      </c>
      <c r="H19" s="5">
        <v>46048.0</v>
      </c>
      <c r="I19" s="2" t="s">
        <v>14</v>
      </c>
    </row>
    <row r="20">
      <c r="A20" s="2" t="s">
        <v>57</v>
      </c>
      <c r="B20" s="2" t="s">
        <v>52</v>
      </c>
      <c r="C20" s="2" t="s">
        <v>11</v>
      </c>
      <c r="D20" s="2" t="s">
        <v>18</v>
      </c>
      <c r="E20" s="2" t="s">
        <v>47</v>
      </c>
      <c r="F20" s="3">
        <v>3.5</v>
      </c>
      <c r="G20" s="4" t="str">
        <f>HYPERLINK("https://tr.linkedin.com/jobs/view/c%2B%2B-programmer-at-magic-media-4364223155", "LinkedIn")</f>
        <v>LinkedIn</v>
      </c>
      <c r="H20" s="5">
        <v>46041.0</v>
      </c>
      <c r="I20" s="2" t="s">
        <v>38</v>
      </c>
    </row>
    <row r="21">
      <c r="A21" s="2" t="s">
        <v>58</v>
      </c>
      <c r="B21" s="2" t="s">
        <v>59</v>
      </c>
      <c r="C21" s="2" t="s">
        <v>11</v>
      </c>
      <c r="D21" s="2" t="s">
        <v>41</v>
      </c>
      <c r="E21" s="2" t="s">
        <v>47</v>
      </c>
      <c r="F21" s="3">
        <v>3.5</v>
      </c>
      <c r="G21" s="4" t="str">
        <f>HYPERLINK("https://jobs.longjourney.vc/companies/operative-games-2/jobs/50284606-unreal-engine-developer?utm_campaign=google_jobs_apply&amp;utm_source=google_jobs_apply&amp;utm_medium=organic", "Link")</f>
        <v>Link</v>
      </c>
      <c r="H21" s="5"/>
      <c r="I21" s="2" t="s">
        <v>38</v>
      </c>
    </row>
    <row r="22">
      <c r="A22" s="2" t="s">
        <v>60</v>
      </c>
      <c r="B22" s="2" t="s">
        <v>61</v>
      </c>
      <c r="C22" s="2" t="s">
        <v>11</v>
      </c>
      <c r="D22" s="2" t="s">
        <v>41</v>
      </c>
      <c r="E22" s="2" t="s">
        <v>47</v>
      </c>
      <c r="F22" s="3">
        <v>3.5</v>
      </c>
      <c r="G22" s="4" t="str">
        <f>HYPERLINK("https://www.learn4good.com/jobs/online_remote/software_development/4824351926/e/?utm_campaign=google_jobs_apply&amp;utm_source=google_jobs_apply&amp;utm_medium=organic", "Link")</f>
        <v>Link</v>
      </c>
      <c r="H22" s="5">
        <v>46053.0</v>
      </c>
      <c r="I22" s="2" t="s">
        <v>38</v>
      </c>
    </row>
    <row r="23">
      <c r="A23" s="2" t="s">
        <v>62</v>
      </c>
      <c r="B23" s="2"/>
      <c r="C23" s="2" t="s">
        <v>63</v>
      </c>
      <c r="D23" s="2" t="s">
        <v>41</v>
      </c>
      <c r="E23" s="2" t="s">
        <v>42</v>
      </c>
      <c r="F23" s="3">
        <v>3.5</v>
      </c>
      <c r="G23" s="4" t="str">
        <f>HYPERLINK("https://weworkremotely.com/remote-jobs/comparis-ch-experienced-full-stack-software-engineer-net-react-80-100-f-m-x-fully-remote", "WWRemotely")</f>
        <v>WWRemotely</v>
      </c>
      <c r="H23" s="5">
        <v>45986.0</v>
      </c>
      <c r="I23" s="2" t="s">
        <v>38</v>
      </c>
    </row>
    <row r="24">
      <c r="A24" s="2" t="s">
        <v>64</v>
      </c>
      <c r="B24" s="2" t="s">
        <v>65</v>
      </c>
      <c r="C24" s="2" t="s">
        <v>22</v>
      </c>
      <c r="D24" s="2" t="s">
        <v>18</v>
      </c>
      <c r="E24" s="2" t="s">
        <v>47</v>
      </c>
      <c r="F24" s="3">
        <v>3.2</v>
      </c>
      <c r="G24" s="4" t="str">
        <f>HYPERLINK("https://tr.linkedin.com/jobs/view/software-engineer-mls-at-udemy-4370802435", "LinkedIn")</f>
        <v>LinkedIn</v>
      </c>
      <c r="H24" s="5">
        <v>46062.0</v>
      </c>
      <c r="I24" s="2" t="s">
        <v>14</v>
      </c>
    </row>
    <row r="25">
      <c r="A25" s="2" t="s">
        <v>66</v>
      </c>
      <c r="B25" s="2" t="s">
        <v>67</v>
      </c>
      <c r="C25" s="2" t="s">
        <v>37</v>
      </c>
      <c r="D25" s="2" t="s">
        <v>18</v>
      </c>
      <c r="E25" s="2" t="s">
        <v>47</v>
      </c>
      <c r="F25" s="3">
        <v>3.2</v>
      </c>
      <c r="G25" s="4" t="str">
        <f>HYPERLINK("https://tr.linkedin.com/jobs/view/yapay-zeka-m%C3%BChendisi-at-akg%C3%BCn-4368736544", "LinkedIn")</f>
        <v>LinkedIn</v>
      </c>
      <c r="H25" s="5">
        <v>46057.0</v>
      </c>
      <c r="I25" s="2" t="s">
        <v>68</v>
      </c>
    </row>
    <row r="26">
      <c r="A26" s="2" t="s">
        <v>69</v>
      </c>
      <c r="B26" s="2" t="s">
        <v>70</v>
      </c>
      <c r="C26" s="2" t="s">
        <v>22</v>
      </c>
      <c r="D26" s="2" t="s">
        <v>18</v>
      </c>
      <c r="E26" s="2" t="s">
        <v>47</v>
      </c>
      <c r="F26" s="3">
        <v>3.2</v>
      </c>
      <c r="G26" s="4" t="str">
        <f>HYPERLINK("https://tr.linkedin.com/jobs/view/net-yaz%C4%B1l%C4%B1m-uzman%C4%B1-ankara-at-innova-4355401841", "LinkedIn")</f>
        <v>LinkedIn</v>
      </c>
      <c r="H26" s="5">
        <v>46045.0</v>
      </c>
      <c r="I26" s="2" t="s">
        <v>19</v>
      </c>
    </row>
    <row r="27">
      <c r="A27" s="2" t="s">
        <v>71</v>
      </c>
      <c r="B27" s="2" t="s">
        <v>72</v>
      </c>
      <c r="C27" s="2" t="s">
        <v>22</v>
      </c>
      <c r="D27" s="2" t="s">
        <v>18</v>
      </c>
      <c r="E27" s="2" t="s">
        <v>47</v>
      </c>
      <c r="F27" s="3">
        <v>3.2</v>
      </c>
      <c r="G27" s="4" t="str">
        <f>HYPERLINK("https://tr.linkedin.com/jobs/view/design-engineer-at-hilti-t%C3%BCrkiye-4363048553", "LinkedIn")</f>
        <v>LinkedIn</v>
      </c>
      <c r="H27" s="5">
        <v>46064.0</v>
      </c>
      <c r="I27" s="2" t="s">
        <v>38</v>
      </c>
    </row>
    <row r="28">
      <c r="A28" s="2" t="s">
        <v>73</v>
      </c>
      <c r="B28" s="2" t="s">
        <v>74</v>
      </c>
      <c r="C28" s="2" t="s">
        <v>22</v>
      </c>
      <c r="D28" s="2" t="s">
        <v>18</v>
      </c>
      <c r="E28" s="2" t="s">
        <v>47</v>
      </c>
      <c r="F28" s="3">
        <v>3.2</v>
      </c>
      <c r="G28" s="4" t="str">
        <f>HYPERLINK("https://tr.linkedin.com/jobs/view/system-engineer-at-innovance-consultancy-4368987794", "LinkedIn")</f>
        <v>LinkedIn</v>
      </c>
      <c r="H28" s="5">
        <v>46058.0</v>
      </c>
      <c r="I28" s="2" t="s">
        <v>14</v>
      </c>
    </row>
    <row r="29">
      <c r="A29" s="2" t="s">
        <v>73</v>
      </c>
      <c r="B29" s="2" t="s">
        <v>74</v>
      </c>
      <c r="C29" s="2" t="s">
        <v>22</v>
      </c>
      <c r="D29" s="2" t="s">
        <v>18</v>
      </c>
      <c r="E29" s="2" t="s">
        <v>47</v>
      </c>
      <c r="F29" s="3">
        <v>3.2</v>
      </c>
      <c r="G29" s="4" t="str">
        <f>HYPERLINK("https://tr.linkedin.com/jobs/view/system-engineer-at-innovance-consultancy-4368231794", "LinkedIn")</f>
        <v>LinkedIn</v>
      </c>
      <c r="H29" s="5">
        <v>46056.0</v>
      </c>
      <c r="I29" s="2" t="s">
        <v>14</v>
      </c>
    </row>
    <row r="30">
      <c r="A30" s="2" t="s">
        <v>75</v>
      </c>
      <c r="B30" s="2" t="s">
        <v>76</v>
      </c>
      <c r="C30" s="2" t="s">
        <v>22</v>
      </c>
      <c r="D30" s="2" t="s">
        <v>18</v>
      </c>
      <c r="E30" s="2" t="s">
        <v>47</v>
      </c>
      <c r="F30" s="3">
        <v>3.2</v>
      </c>
      <c r="G30" s="4" t="str">
        <f>HYPERLINK("https://tr.linkedin.com/jobs/view/software-engineer-saas-platform-asset-management-t%C3%BCrkiye-at-jumpcloud-4348813154", "LinkedIn")</f>
        <v>LinkedIn</v>
      </c>
      <c r="H30" s="5">
        <v>46063.0</v>
      </c>
      <c r="I30" s="2" t="s">
        <v>14</v>
      </c>
    </row>
    <row r="31">
      <c r="A31" s="2" t="s">
        <v>77</v>
      </c>
      <c r="B31" s="2" t="s">
        <v>78</v>
      </c>
      <c r="C31" s="2" t="s">
        <v>37</v>
      </c>
      <c r="D31" s="2" t="s">
        <v>18</v>
      </c>
      <c r="E31" s="2" t="s">
        <v>47</v>
      </c>
      <c r="F31" s="3">
        <v>3.2</v>
      </c>
      <c r="G31" s="4" t="str">
        <f>HYPERLINK("https://tr.linkedin.com/jobs/view/test-automation-engineer-on-site-at-clario-4343986712", "LinkedIn")</f>
        <v>LinkedIn</v>
      </c>
      <c r="H31" s="5">
        <v>46056.0</v>
      </c>
      <c r="I31" s="2" t="s">
        <v>14</v>
      </c>
    </row>
    <row r="32">
      <c r="A32" s="2" t="s">
        <v>79</v>
      </c>
      <c r="B32" s="2" t="s">
        <v>80</v>
      </c>
      <c r="C32" s="2" t="s">
        <v>22</v>
      </c>
      <c r="D32" s="2" t="s">
        <v>18</v>
      </c>
      <c r="E32" s="2" t="s">
        <v>47</v>
      </c>
      <c r="F32" s="3">
        <v>3.2</v>
      </c>
      <c r="G32" s="4" t="str">
        <f>HYPERLINK("https://tr.linkedin.com/jobs/view/software-engineer-data-infrastructure-at-canonical-4365010764", "LinkedIn")</f>
        <v>LinkedIn</v>
      </c>
      <c r="H32" s="5">
        <v>46043.0</v>
      </c>
      <c r="I32" s="2" t="s">
        <v>14</v>
      </c>
    </row>
    <row r="33">
      <c r="A33" s="2" t="s">
        <v>81</v>
      </c>
      <c r="B33" s="2" t="s">
        <v>82</v>
      </c>
      <c r="C33" s="2" t="s">
        <v>83</v>
      </c>
      <c r="D33" s="2" t="s">
        <v>41</v>
      </c>
      <c r="E33" s="2" t="s">
        <v>47</v>
      </c>
      <c r="F33" s="3">
        <v>3.2</v>
      </c>
      <c r="G33" s="4" t="str">
        <f>HYPERLINK("https://himalayas.app/companies/optum/jobs/remote-part-time-therapist-ia", "Himalayas")</f>
        <v>Himalayas</v>
      </c>
      <c r="H33" s="5">
        <v>46084.0</v>
      </c>
      <c r="I33" s="6"/>
    </row>
    <row r="34">
      <c r="A34" s="2" t="s">
        <v>84</v>
      </c>
      <c r="B34" s="6"/>
      <c r="C34" s="2" t="s">
        <v>22</v>
      </c>
      <c r="D34" s="2" t="s">
        <v>41</v>
      </c>
      <c r="E34" s="2" t="s">
        <v>47</v>
      </c>
      <c r="F34" s="3">
        <v>3.2</v>
      </c>
      <c r="G34" s="4" t="str">
        <f>HYPERLINK("https://weworkremotely.com/remote-jobs/speechify-inc-software-engineer-ios-core-product", "WWRemotely")</f>
        <v>WWRemotely</v>
      </c>
      <c r="H34" s="5">
        <v>45847.0</v>
      </c>
      <c r="I34" s="6"/>
    </row>
    <row r="35">
      <c r="A35" s="2" t="s">
        <v>85</v>
      </c>
      <c r="B35" s="2"/>
      <c r="C35" s="2" t="s">
        <v>44</v>
      </c>
      <c r="D35" s="2" t="s">
        <v>12</v>
      </c>
      <c r="E35" s="2" t="s">
        <v>13</v>
      </c>
      <c r="F35" s="3">
        <v>3.0</v>
      </c>
      <c r="G35" s="4" t="str">
        <f>HYPERLINK("https://himalayas.app/companies/state-of-california/jobs/analyst-i", "Himalayas")</f>
        <v>Himalayas</v>
      </c>
      <c r="H35" s="5">
        <v>46084.0</v>
      </c>
      <c r="I35" s="6"/>
    </row>
    <row r="36">
      <c r="A36" s="2" t="s">
        <v>86</v>
      </c>
      <c r="B36" s="2"/>
      <c r="C36" s="2" t="s">
        <v>22</v>
      </c>
      <c r="D36" s="2" t="s">
        <v>12</v>
      </c>
      <c r="E36" s="2" t="s">
        <v>42</v>
      </c>
      <c r="F36" s="3">
        <v>3.0</v>
      </c>
      <c r="G36" s="4" t="str">
        <f>HYPERLINK("https://himalayas.app/companies/kmc-solutions-inc/jobs/xtn-a46e595-customer-service-representative-intermediate", "Himalayas")</f>
        <v>Himalayas</v>
      </c>
      <c r="H36" s="5">
        <v>46084.0</v>
      </c>
      <c r="I36" s="6"/>
    </row>
    <row r="37">
      <c r="A37" s="2" t="s">
        <v>87</v>
      </c>
      <c r="B37" s="2"/>
      <c r="C37" s="2" t="s">
        <v>88</v>
      </c>
      <c r="D37" s="2" t="s">
        <v>41</v>
      </c>
      <c r="E37" s="2" t="s">
        <v>47</v>
      </c>
      <c r="F37" s="3">
        <v>2.9</v>
      </c>
      <c r="G37" s="4" t="str">
        <f>HYPERLINK("https://weworkremotely.com/remote-jobs/gofasti-product-designer-ui-ux-web-application", "WWRemotely")</f>
        <v>WWRemotely</v>
      </c>
      <c r="H37" s="5">
        <v>46059.0</v>
      </c>
      <c r="I37" s="2"/>
    </row>
    <row r="38">
      <c r="A38" s="2" t="s">
        <v>89</v>
      </c>
      <c r="B38" s="2"/>
      <c r="C38" s="2" t="s">
        <v>63</v>
      </c>
      <c r="D38" s="2" t="s">
        <v>41</v>
      </c>
      <c r="E38" s="2" t="s">
        <v>47</v>
      </c>
      <c r="F38" s="3">
        <v>2.9</v>
      </c>
      <c r="G38" s="4" t="str">
        <f>HYPERLINK("https://weworkremotely.com/remote-jobs/startupz-com-front-end-developer-html-css", "WWRemotely")</f>
        <v>WWRemotely</v>
      </c>
      <c r="H38" s="5">
        <v>46058.0</v>
      </c>
      <c r="I38" s="2"/>
    </row>
    <row r="39">
      <c r="A39" s="2" t="s">
        <v>90</v>
      </c>
      <c r="B39" s="2" t="s">
        <v>91</v>
      </c>
      <c r="C39" s="2" t="s">
        <v>63</v>
      </c>
      <c r="D39" s="2" t="s">
        <v>18</v>
      </c>
      <c r="E39" s="2" t="s">
        <v>47</v>
      </c>
      <c r="F39" s="3">
        <v>2.9</v>
      </c>
      <c r="G39" s="4" t="str">
        <f>HYPERLINK("https://tr.linkedin.com/jobs/view/frontend-yaz%C4%B1l%C4%B1m-m%C3%BChendisi-at-aselsan-4374252684", "LinkedIn")</f>
        <v>LinkedIn</v>
      </c>
      <c r="H39" s="5">
        <v>46076.0</v>
      </c>
      <c r="I39" s="6"/>
    </row>
    <row r="40">
      <c r="A40" s="2" t="s">
        <v>92</v>
      </c>
      <c r="B40" s="2" t="s">
        <v>93</v>
      </c>
      <c r="C40" s="2" t="s">
        <v>63</v>
      </c>
      <c r="D40" s="2" t="s">
        <v>18</v>
      </c>
      <c r="E40" s="2" t="s">
        <v>47</v>
      </c>
      <c r="F40" s="3">
        <v>2.9</v>
      </c>
      <c r="G40" s="4" t="str">
        <f>HYPERLINK("https://tr.linkedin.com/jobs/view/frontend-developer-ios-android-web-at-i%CC%87z-human-resource-4375942138", "LinkedIn")</f>
        <v>LinkedIn</v>
      </c>
      <c r="H40" s="5">
        <v>46080.0</v>
      </c>
      <c r="I40" s="6"/>
    </row>
    <row r="41">
      <c r="A41" s="2" t="s">
        <v>94</v>
      </c>
      <c r="B41" s="2" t="s">
        <v>95</v>
      </c>
      <c r="C41" s="2" t="s">
        <v>63</v>
      </c>
      <c r="D41" s="2" t="s">
        <v>18</v>
      </c>
      <c r="E41" s="2" t="s">
        <v>47</v>
      </c>
      <c r="F41" s="3">
        <v>2.9</v>
      </c>
      <c r="G41" s="4" t="str">
        <f>HYPERLINK("https://tr.linkedin.com/jobs/view/yaz%C4%B1l%C4%B1m-m%C3%BChendisi-frontend-react-at-bi%CC%87tes-defence-aerospace-technologies-4377731346", "LinkedIn")</f>
        <v>LinkedIn</v>
      </c>
      <c r="H41" s="5">
        <v>46083.0</v>
      </c>
      <c r="I41" s="6"/>
    </row>
    <row r="42">
      <c r="A42" s="2" t="s">
        <v>96</v>
      </c>
      <c r="B42" s="2" t="s">
        <v>97</v>
      </c>
      <c r="C42" s="2" t="s">
        <v>63</v>
      </c>
      <c r="D42" s="2" t="s">
        <v>18</v>
      </c>
      <c r="E42" s="2" t="s">
        <v>47</v>
      </c>
      <c r="F42" s="3">
        <v>2.9</v>
      </c>
      <c r="G42" s="4" t="str">
        <f>HYPERLINK("https://tr.linkedin.com/jobs/view/sistem-test-m%C3%BChendisi-embedded-systems-backend-front-end-at-rail-acoustic-4373112596", "LinkedIn")</f>
        <v>LinkedIn</v>
      </c>
      <c r="H42" s="5">
        <v>46072.0</v>
      </c>
      <c r="I42" s="6"/>
    </row>
    <row r="43">
      <c r="A43" s="2" t="s">
        <v>98</v>
      </c>
      <c r="B43" s="2" t="s">
        <v>99</v>
      </c>
      <c r="C43" s="2" t="s">
        <v>100</v>
      </c>
      <c r="D43" s="2" t="s">
        <v>18</v>
      </c>
      <c r="E43" s="2" t="s">
        <v>47</v>
      </c>
      <c r="F43" s="3">
        <v>2.9</v>
      </c>
      <c r="G43" s="4" t="str">
        <f>HYPERLINK("https://tr.linkedin.com/jobs/view/full-stack-engineer-backend-heavy-at-adl-kurumsal-hizmetler-4377362944", "LinkedIn")</f>
        <v>LinkedIn</v>
      </c>
      <c r="H43" s="5">
        <v>46083.0</v>
      </c>
      <c r="I43" s="6"/>
    </row>
    <row r="44">
      <c r="A44" s="2" t="s">
        <v>101</v>
      </c>
      <c r="B44" s="2" t="s">
        <v>102</v>
      </c>
      <c r="C44" s="2" t="s">
        <v>88</v>
      </c>
      <c r="D44" s="2" t="s">
        <v>18</v>
      </c>
      <c r="E44" s="2" t="s">
        <v>47</v>
      </c>
      <c r="F44" s="3">
        <v>2.9</v>
      </c>
      <c r="G44" s="4" t="str">
        <f>HYPERLINK("https://tr.linkedin.com/jobs/view/full-stack-yaz%C4%B1l%C4%B1m-geli%C5%9Ftirici-python-%2B-react-at-sinyalizasyon-elektronik-4375516985", "LinkedIn")</f>
        <v>LinkedIn</v>
      </c>
      <c r="H44" s="5">
        <v>46079.0</v>
      </c>
      <c r="I44" s="6"/>
    </row>
    <row r="45">
      <c r="A45" s="2" t="s">
        <v>103</v>
      </c>
      <c r="B45" s="2" t="s">
        <v>104</v>
      </c>
      <c r="C45" s="2" t="s">
        <v>63</v>
      </c>
      <c r="D45" s="2" t="s">
        <v>18</v>
      </c>
      <c r="E45" s="2" t="s">
        <v>47</v>
      </c>
      <c r="F45" s="3">
        <v>2.9</v>
      </c>
      <c r="G45" s="4" t="str">
        <f>HYPERLINK("https://tr.linkedin.com/jobs/view/full-stack-developer-node-js-react-js-at-mobiversite-4378839230", "LinkedIn")</f>
        <v>LinkedIn</v>
      </c>
      <c r="H45" s="5">
        <v>46083.0</v>
      </c>
      <c r="I45" s="6"/>
    </row>
    <row r="46">
      <c r="A46" s="2" t="s">
        <v>105</v>
      </c>
      <c r="B46" s="2" t="s">
        <v>106</v>
      </c>
      <c r="C46" s="2" t="s">
        <v>63</v>
      </c>
      <c r="D46" s="2" t="s">
        <v>18</v>
      </c>
      <c r="E46" s="2" t="s">
        <v>47</v>
      </c>
      <c r="F46" s="3">
        <v>2.9</v>
      </c>
      <c r="G46" s="4" t="str">
        <f>HYPERLINK("https://tr.linkedin.com/jobs/view/wordpress-web-developer-wordpress-geli%C5%9Ftiricisi-at-alakazam-rekam-ve-tasar%C4%B1m-d%C3%BCkkan%C4%B1-4378147373", "LinkedIn")</f>
        <v>LinkedIn</v>
      </c>
      <c r="H46" s="5">
        <v>46084.0</v>
      </c>
      <c r="I46" s="6"/>
    </row>
    <row r="47">
      <c r="A47" s="2" t="s">
        <v>107</v>
      </c>
      <c r="B47" s="6"/>
      <c r="C47" s="2" t="s">
        <v>100</v>
      </c>
      <c r="D47" s="2" t="s">
        <v>41</v>
      </c>
      <c r="E47" s="2" t="s">
        <v>47</v>
      </c>
      <c r="F47" s="3">
        <v>2.9</v>
      </c>
      <c r="G47" s="4" t="str">
        <f>HYPERLINK("https://weworkremotely.com/remote-jobs/engineering-comfort-solutions-web-developer", "WWRemotely")</f>
        <v>WWRemotely</v>
      </c>
      <c r="H47" s="5">
        <v>46058.0</v>
      </c>
      <c r="I47" s="6"/>
    </row>
    <row r="48">
      <c r="A48" s="2" t="s">
        <v>108</v>
      </c>
      <c r="B48" s="2" t="s">
        <v>109</v>
      </c>
      <c r="C48" s="2" t="s">
        <v>88</v>
      </c>
      <c r="D48" s="2" t="s">
        <v>41</v>
      </c>
      <c r="E48" s="2" t="s">
        <v>47</v>
      </c>
      <c r="F48" s="3">
        <v>2.9</v>
      </c>
      <c r="G48" s="4" t="str">
        <f>HYPERLINK("https://himalayas.app/companies/unitedhealth-group/jobs/ux-copywriter-remote", "Himalayas")</f>
        <v>Himalayas</v>
      </c>
      <c r="H48" s="5">
        <v>46084.0</v>
      </c>
      <c r="I48" s="6"/>
    </row>
    <row r="49">
      <c r="A49" s="2" t="s">
        <v>110</v>
      </c>
      <c r="B49" s="2"/>
      <c r="C49" s="2" t="s">
        <v>63</v>
      </c>
      <c r="D49" s="2" t="s">
        <v>41</v>
      </c>
      <c r="E49" s="2" t="s">
        <v>47</v>
      </c>
      <c r="F49" s="3">
        <v>2.9</v>
      </c>
      <c r="G49" s="4" t="str">
        <f>HYPERLINK("https://weworkremotely.com/remote-jobs/uncanny-owl-wordpress-developer", "WWRemotely")</f>
        <v>WWRemotely</v>
      </c>
      <c r="H49" s="5">
        <v>46057.0</v>
      </c>
      <c r="I49" s="6"/>
    </row>
    <row r="50">
      <c r="A50" s="2" t="s">
        <v>111</v>
      </c>
      <c r="B50" s="2"/>
      <c r="C50" s="2" t="s">
        <v>63</v>
      </c>
      <c r="D50" s="2" t="s">
        <v>41</v>
      </c>
      <c r="E50" s="2" t="s">
        <v>47</v>
      </c>
      <c r="F50" s="3">
        <v>2.9</v>
      </c>
      <c r="G50" s="4" t="str">
        <f>HYPERLINK("https://weworkremotely.com/remote-jobs/dreamrider-productions-careers-web-developer", "WWRemotely")</f>
        <v>WWRemotely</v>
      </c>
      <c r="H50" s="5">
        <v>46055.0</v>
      </c>
      <c r="I50" s="6"/>
    </row>
    <row r="51">
      <c r="A51" s="2" t="s">
        <v>112</v>
      </c>
      <c r="B51" s="2" t="s">
        <v>113</v>
      </c>
      <c r="C51" s="2" t="s">
        <v>114</v>
      </c>
      <c r="D51" s="2" t="s">
        <v>41</v>
      </c>
      <c r="E51" s="2" t="s">
        <v>47</v>
      </c>
      <c r="F51" s="3">
        <v>2.9</v>
      </c>
      <c r="G51" s="4" t="str">
        <f>HYPERLINK("https://weworkremotely.com/remote-jobs/webflow-enterprise-account-executive-west", "WWRemotely")</f>
        <v>WWRemotely</v>
      </c>
      <c r="H51" s="5">
        <v>46055.0</v>
      </c>
      <c r="I51" s="6"/>
    </row>
    <row r="52">
      <c r="A52" s="2" t="s">
        <v>115</v>
      </c>
      <c r="B52" s="2"/>
      <c r="C52" s="2" t="s">
        <v>63</v>
      </c>
      <c r="D52" s="2" t="s">
        <v>41</v>
      </c>
      <c r="E52" s="2" t="s">
        <v>47</v>
      </c>
      <c r="F52" s="3">
        <v>2.9</v>
      </c>
      <c r="G52" s="4" t="str">
        <f>HYPERLINK("https://weworkremotely.com/remote-jobs/aliqan-technologies-commerce-tools-node-js-cloud", "WWRemotely")</f>
        <v>WWRemotely</v>
      </c>
      <c r="H52" s="5">
        <v>46055.0</v>
      </c>
      <c r="I52" s="6"/>
    </row>
    <row r="53">
      <c r="A53" s="2" t="s">
        <v>116</v>
      </c>
      <c r="B53" s="2"/>
      <c r="C53" s="2" t="s">
        <v>63</v>
      </c>
      <c r="D53" s="2" t="s">
        <v>41</v>
      </c>
      <c r="E53" s="2" t="s">
        <v>47</v>
      </c>
      <c r="F53" s="3">
        <v>2.9</v>
      </c>
      <c r="G53" s="4" t="str">
        <f>HYPERLINK("https://weworkremotely.com/remote-jobs/cortes-23-software-engineer-3", "WWRemotely")</f>
        <v>WWRemotely</v>
      </c>
      <c r="H53" s="5">
        <v>46055.0</v>
      </c>
      <c r="I53" s="6"/>
    </row>
    <row r="54">
      <c r="A54" s="2" t="s">
        <v>51</v>
      </c>
      <c r="B54" s="2" t="s">
        <v>52</v>
      </c>
      <c r="C54" s="2" t="s">
        <v>11</v>
      </c>
      <c r="D54" s="2" t="s">
        <v>12</v>
      </c>
      <c r="E54" s="2" t="s">
        <v>47</v>
      </c>
      <c r="F54" s="3">
        <v>2.7</v>
      </c>
      <c r="G54" s="4" t="str">
        <f>HYPERLINK("https://tr.linkedin.com/jobs/view/kotlin-game-developer-at-magic-media-4371061546", "LinkedIn")</f>
        <v>LinkedIn</v>
      </c>
      <c r="H54" s="5">
        <v>46063.0</v>
      </c>
      <c r="I54" s="2" t="s">
        <v>14</v>
      </c>
    </row>
    <row r="55">
      <c r="A55" s="2" t="s">
        <v>57</v>
      </c>
      <c r="B55" s="2" t="s">
        <v>52</v>
      </c>
      <c r="C55" s="2" t="s">
        <v>11</v>
      </c>
      <c r="D55" s="2" t="s">
        <v>12</v>
      </c>
      <c r="E55" s="2" t="s">
        <v>47</v>
      </c>
      <c r="F55" s="3">
        <v>2.7</v>
      </c>
      <c r="G55" s="4" t="str">
        <f>HYPERLINK("https://tr.linkedin.com/jobs/view/c%2B%2B-programmer-at-magic-media-4371075001", "LinkedIn")</f>
        <v>LinkedIn</v>
      </c>
      <c r="H55" s="5">
        <v>46063.0</v>
      </c>
      <c r="I55" s="2" t="s">
        <v>38</v>
      </c>
    </row>
    <row r="56">
      <c r="A56" s="2" t="s">
        <v>117</v>
      </c>
      <c r="B56" s="2" t="s">
        <v>118</v>
      </c>
      <c r="C56" s="2" t="s">
        <v>11</v>
      </c>
      <c r="D56" s="2" t="s">
        <v>12</v>
      </c>
      <c r="E56" s="2" t="s">
        <v>47</v>
      </c>
      <c r="F56" s="3">
        <v>2.7</v>
      </c>
      <c r="G56" s="4" t="str">
        <f>HYPERLINK("https://cosmoquick.com/fresher-jobs-in/baltimore/fresher-game-developer?utm_campaign=google_jobs_apply&amp;utm_source=google_jobs_apply&amp;utm_medium=organic", "Link")</f>
        <v>Link</v>
      </c>
      <c r="H56" s="5">
        <v>46083.0</v>
      </c>
      <c r="I56" s="2"/>
    </row>
    <row r="57">
      <c r="A57" s="2" t="s">
        <v>119</v>
      </c>
      <c r="B57" s="2" t="s">
        <v>120</v>
      </c>
      <c r="C57" s="2" t="s">
        <v>11</v>
      </c>
      <c r="D57" s="2" t="s">
        <v>12</v>
      </c>
      <c r="E57" s="2" t="s">
        <v>47</v>
      </c>
      <c r="F57" s="3">
        <v>2.7</v>
      </c>
      <c r="G57" s="4" t="str">
        <f>HYPERLINK("https://tr.linkedin.com/jobs/view/game-developer-at-rovio-entertainment-4375436721", "LinkedIn")</f>
        <v>LinkedIn</v>
      </c>
      <c r="H57" s="5">
        <v>46072.0</v>
      </c>
      <c r="I57" s="6"/>
    </row>
    <row r="58">
      <c r="A58" s="2" t="s">
        <v>119</v>
      </c>
      <c r="B58" s="2" t="s">
        <v>121</v>
      </c>
      <c r="C58" s="2" t="s">
        <v>11</v>
      </c>
      <c r="D58" s="2" t="s">
        <v>12</v>
      </c>
      <c r="E58" s="2" t="s">
        <v>47</v>
      </c>
      <c r="F58" s="3">
        <v>2.7</v>
      </c>
      <c r="G58" s="4" t="str">
        <f>HYPERLINK("https://tr.linkedin.com/jobs/view/game-developer-at-paxie-games-4373787993", "LinkedIn")</f>
        <v>LinkedIn</v>
      </c>
      <c r="H58" s="5">
        <v>46075.0</v>
      </c>
      <c r="I58" s="6"/>
    </row>
    <row r="59">
      <c r="A59" s="2" t="s">
        <v>122</v>
      </c>
      <c r="B59" s="2" t="s">
        <v>123</v>
      </c>
      <c r="C59" s="2" t="s">
        <v>11</v>
      </c>
      <c r="D59" s="2" t="s">
        <v>12</v>
      </c>
      <c r="E59" s="2" t="s">
        <v>47</v>
      </c>
      <c r="F59" s="3">
        <v>2.7</v>
      </c>
      <c r="G59" s="4" t="str">
        <f>HYPERLINK("https://tr.linkedin.com/jobs/view/unity-sim%C3%BClasyon-geli%C5%9Ftirici-at-anadolu-robotik-4377352988", "LinkedIn")</f>
        <v>LinkedIn</v>
      </c>
      <c r="H59" s="5">
        <v>46083.0</v>
      </c>
      <c r="I59" s="6"/>
    </row>
    <row r="60">
      <c r="A60" s="2" t="s">
        <v>124</v>
      </c>
      <c r="B60" s="2" t="s">
        <v>125</v>
      </c>
      <c r="C60" s="2" t="s">
        <v>11</v>
      </c>
      <c r="D60" s="2" t="s">
        <v>12</v>
      </c>
      <c r="E60" s="2" t="s">
        <v>47</v>
      </c>
      <c r="F60" s="3">
        <v>2.7</v>
      </c>
      <c r="G60" s="4" t="str">
        <f>HYPERLINK("https://tr.linkedin.com/jobs/view/game-level-designer-at-roq-games-4377314257", "LinkedIn")</f>
        <v>LinkedIn</v>
      </c>
      <c r="H60" s="5">
        <v>46083.0</v>
      </c>
      <c r="I60" s="6"/>
    </row>
    <row r="61">
      <c r="A61" s="2" t="s">
        <v>48</v>
      </c>
      <c r="B61" s="2" t="s">
        <v>126</v>
      </c>
      <c r="C61" s="2" t="s">
        <v>11</v>
      </c>
      <c r="D61" s="2" t="s">
        <v>12</v>
      </c>
      <c r="E61" s="2" t="s">
        <v>47</v>
      </c>
      <c r="F61" s="3">
        <v>2.7</v>
      </c>
      <c r="G61" s="4" t="str">
        <f>HYPERLINK("https://tr.linkedin.com/jobs/view/game-designer-at-joygame-publishing-4378907216", "LinkedIn")</f>
        <v>LinkedIn</v>
      </c>
      <c r="H61" s="5">
        <v>46085.0</v>
      </c>
      <c r="I61" s="6"/>
    </row>
    <row r="62">
      <c r="A62" s="2" t="s">
        <v>127</v>
      </c>
      <c r="B62" s="2" t="s">
        <v>128</v>
      </c>
      <c r="C62" s="2" t="s">
        <v>11</v>
      </c>
      <c r="D62" s="2" t="s">
        <v>12</v>
      </c>
      <c r="E62" s="2" t="s">
        <v>47</v>
      </c>
      <c r="F62" s="3">
        <v>2.7</v>
      </c>
      <c r="G62" s="4" t="str">
        <f>HYPERLINK("https://tr.linkedin.com/jobs/view/live-ops-game-designer-mobile-f2p-at-userwise-4375664810", "LinkedIn")</f>
        <v>LinkedIn</v>
      </c>
      <c r="H62" s="5">
        <v>46073.0</v>
      </c>
      <c r="I62" s="6"/>
    </row>
    <row r="63">
      <c r="A63" s="2" t="s">
        <v>129</v>
      </c>
      <c r="B63" s="2" t="s">
        <v>130</v>
      </c>
      <c r="C63" s="2" t="s">
        <v>11</v>
      </c>
      <c r="D63" s="2" t="s">
        <v>12</v>
      </c>
      <c r="E63" s="2" t="s">
        <v>47</v>
      </c>
      <c r="F63" s="3">
        <v>2.7</v>
      </c>
      <c r="G63" s="4" t="str">
        <f>HYPERLINK("https://tr.linkedin.com/jobs/view/oyun-geli%C5%9Ftirici-at-bambu-games-yaz%C4%B1l%C4%B1m-sanayi-ve-ticaret-a-%C5%9F-4378149286", "LinkedIn")</f>
        <v>LinkedIn</v>
      </c>
      <c r="H63" s="5">
        <v>46084.0</v>
      </c>
      <c r="I63" s="6"/>
    </row>
    <row r="64">
      <c r="A64" s="2" t="s">
        <v>131</v>
      </c>
      <c r="B64" s="2" t="s">
        <v>132</v>
      </c>
      <c r="C64" s="2" t="s">
        <v>11</v>
      </c>
      <c r="D64" s="2" t="s">
        <v>12</v>
      </c>
      <c r="E64" s="2" t="s">
        <v>47</v>
      </c>
      <c r="F64" s="3">
        <v>2.7</v>
      </c>
      <c r="G64" s="4" t="str">
        <f>HYPERLINK("https://tr.linkedin.com/jobs/view/unreal-engine-game-developer-at-leartes-4374572770", "LinkedIn")</f>
        <v>LinkedIn</v>
      </c>
      <c r="H64" s="5">
        <v>46077.0</v>
      </c>
      <c r="I64" s="6"/>
    </row>
    <row r="65">
      <c r="A65" s="2" t="s">
        <v>133</v>
      </c>
      <c r="B65" s="2" t="s">
        <v>132</v>
      </c>
      <c r="C65" s="2" t="s">
        <v>11</v>
      </c>
      <c r="D65" s="2" t="s">
        <v>12</v>
      </c>
      <c r="E65" s="2" t="s">
        <v>47</v>
      </c>
      <c r="F65" s="3">
        <v>2.7</v>
      </c>
      <c r="G65" s="4" t="str">
        <f>HYPERLINK("https://tr.linkedin.com/jobs/view/unreal-engine-tool-developer-at-leartes-4374565798", "LinkedIn")</f>
        <v>LinkedIn</v>
      </c>
      <c r="H65" s="5">
        <v>46077.0</v>
      </c>
      <c r="I65" s="6"/>
    </row>
    <row r="66">
      <c r="A66" s="2" t="s">
        <v>134</v>
      </c>
      <c r="B66" s="2" t="s">
        <v>121</v>
      </c>
      <c r="C66" s="2" t="s">
        <v>11</v>
      </c>
      <c r="D66" s="2" t="s">
        <v>12</v>
      </c>
      <c r="E66" s="2" t="s">
        <v>47</v>
      </c>
      <c r="F66" s="3">
        <v>2.7</v>
      </c>
      <c r="G66" s="4" t="str">
        <f>HYPERLINK("https://tr.linkedin.com/jobs/view/3d-game-artist-at-paxie-games-4374570205", "LinkedIn")</f>
        <v>LinkedIn</v>
      </c>
      <c r="H66" s="5">
        <v>46077.0</v>
      </c>
      <c r="I66" s="6"/>
    </row>
    <row r="67">
      <c r="A67" s="2" t="s">
        <v>134</v>
      </c>
      <c r="B67" s="2" t="s">
        <v>135</v>
      </c>
      <c r="C67" s="2" t="s">
        <v>11</v>
      </c>
      <c r="D67" s="2" t="s">
        <v>12</v>
      </c>
      <c r="E67" s="2" t="s">
        <v>47</v>
      </c>
      <c r="F67" s="3">
        <v>2.7</v>
      </c>
      <c r="G67" s="4" t="str">
        <f>HYPERLINK("https://tr.linkedin.com/jobs/view/3d-game-artist-at-last-games-4374576783", "LinkedIn")</f>
        <v>LinkedIn</v>
      </c>
      <c r="H67" s="5">
        <v>46077.0</v>
      </c>
      <c r="I67" s="6"/>
    </row>
    <row r="68">
      <c r="A68" s="2" t="s">
        <v>136</v>
      </c>
      <c r="B68" s="2" t="s">
        <v>137</v>
      </c>
      <c r="C68" s="2" t="s">
        <v>11</v>
      </c>
      <c r="D68" s="2" t="s">
        <v>12</v>
      </c>
      <c r="E68" s="2" t="s">
        <v>47</v>
      </c>
      <c r="F68" s="3">
        <v>2.7</v>
      </c>
      <c r="G68" s="4" t="str">
        <f>HYPERLINK("https://tr.linkedin.com/jobs/view/2d-3d-game-artist-at-r2d-games-4375512745", "LinkedIn")</f>
        <v>LinkedIn</v>
      </c>
      <c r="H68" s="5">
        <v>46083.0</v>
      </c>
      <c r="I68" s="6"/>
    </row>
    <row r="69">
      <c r="A69" s="2" t="s">
        <v>134</v>
      </c>
      <c r="B69" s="2" t="s">
        <v>138</v>
      </c>
      <c r="C69" s="2" t="s">
        <v>11</v>
      </c>
      <c r="D69" s="2" t="s">
        <v>12</v>
      </c>
      <c r="E69" s="2" t="s">
        <v>47</v>
      </c>
      <c r="F69" s="3">
        <v>2.7</v>
      </c>
      <c r="G69" s="4" t="str">
        <f>HYPERLINK("https://tr.linkedin.com/jobs/view/3d-game-artist-at-leke-games-4361796451", "LinkedIn")</f>
        <v>LinkedIn</v>
      </c>
      <c r="H69" s="5">
        <v>46077.0</v>
      </c>
      <c r="I69" s="6"/>
    </row>
    <row r="70">
      <c r="A70" s="2" t="s">
        <v>134</v>
      </c>
      <c r="B70" s="2" t="s">
        <v>120</v>
      </c>
      <c r="C70" s="2" t="s">
        <v>11</v>
      </c>
      <c r="D70" s="2" t="s">
        <v>12</v>
      </c>
      <c r="E70" s="2" t="s">
        <v>47</v>
      </c>
      <c r="F70" s="3">
        <v>2.7</v>
      </c>
      <c r="G70" s="4" t="str">
        <f>HYPERLINK("https://tr.linkedin.com/jobs/view/3d-game-artist-at-rovio-entertainment-4375878266", "LinkedIn")</f>
        <v>LinkedIn</v>
      </c>
      <c r="H70" s="5">
        <v>46073.0</v>
      </c>
      <c r="I70" s="6"/>
    </row>
    <row r="71">
      <c r="A71" s="2" t="s">
        <v>139</v>
      </c>
      <c r="B71" s="2" t="s">
        <v>140</v>
      </c>
      <c r="C71" s="2" t="s">
        <v>11</v>
      </c>
      <c r="D71" s="2" t="s">
        <v>12</v>
      </c>
      <c r="E71" s="2" t="s">
        <v>47</v>
      </c>
      <c r="F71" s="3">
        <v>2.7</v>
      </c>
      <c r="G71" s="4" t="str">
        <f>HYPERLINK("https://tr.linkedin.com/jobs/view/3d-artist-konya-at-twinup-digital-twin-technologies-4372498226", "LinkedIn")</f>
        <v>LinkedIn</v>
      </c>
      <c r="H71" s="5">
        <v>46071.0</v>
      </c>
      <c r="I71" s="6"/>
    </row>
    <row r="72">
      <c r="A72" s="2" t="s">
        <v>141</v>
      </c>
      <c r="B72" s="2" t="s">
        <v>142</v>
      </c>
      <c r="C72" s="2" t="s">
        <v>11</v>
      </c>
      <c r="D72" s="2" t="s">
        <v>12</v>
      </c>
      <c r="E72" s="2" t="s">
        <v>47</v>
      </c>
      <c r="F72" s="3">
        <v>2.7</v>
      </c>
      <c r="G72" s="4" t="str">
        <f>HYPERLINK("https://tr.linkedin.com/jobs/view/yaz%C4%B1l%C4%B1m-geli%C5%9Ftirme-m%C3%BChendisi-fiori-abap-at-tei-tusa%C5%9F-engine-industries-inc-4375911643", "LinkedIn")</f>
        <v>LinkedIn</v>
      </c>
      <c r="H72" s="5">
        <v>46080.0</v>
      </c>
      <c r="I72" s="6"/>
    </row>
    <row r="73">
      <c r="A73" s="2" t="s">
        <v>143</v>
      </c>
      <c r="B73" s="2" t="s">
        <v>142</v>
      </c>
      <c r="C73" s="2" t="s">
        <v>11</v>
      </c>
      <c r="D73" s="2" t="s">
        <v>12</v>
      </c>
      <c r="E73" s="2" t="s">
        <v>47</v>
      </c>
      <c r="F73" s="3">
        <v>2.7</v>
      </c>
      <c r="G73" s="4" t="str">
        <f>HYPERLINK("https://tr.linkedin.com/jobs/view/yaz%C4%B1l%C4%B1m-geli%C5%9Ftirme-m%C3%BChendisi-mendix-at-tei-tusa%C5%9F-engine-industries-inc-4375925339", "LinkedIn")</f>
        <v>LinkedIn</v>
      </c>
      <c r="H73" s="5">
        <v>46080.0</v>
      </c>
      <c r="I73" s="6"/>
    </row>
    <row r="74">
      <c r="A74" s="2" t="s">
        <v>144</v>
      </c>
      <c r="B74" s="2" t="s">
        <v>145</v>
      </c>
      <c r="C74" s="2" t="s">
        <v>11</v>
      </c>
      <c r="D74" s="2" t="s">
        <v>12</v>
      </c>
      <c r="E74" s="2" t="s">
        <v>47</v>
      </c>
      <c r="F74" s="3">
        <v>2.7</v>
      </c>
      <c r="G74" s="4" t="str">
        <f>HYPERLINK("https://www.ziprecruiter.com/c/Black-Rocket-Productions/Job/Summer-Camp-Coding,-Digital-Arts,-or-Game-Development-Assistant-Instructor/-in-Falls-Church,VA?jid=11f9eb317ee13df6&amp;utm_campaign=google_jobs_apply&amp;utm_source=google_jobs_apply&amp;utm_medium=organic", "Link")</f>
        <v>Link</v>
      </c>
      <c r="H74" s="5">
        <v>46078.0</v>
      </c>
      <c r="I74" s="6"/>
    </row>
    <row r="75">
      <c r="A75" s="2" t="s">
        <v>146</v>
      </c>
      <c r="B75" s="2" t="s">
        <v>147</v>
      </c>
      <c r="C75" s="2" t="s">
        <v>11</v>
      </c>
      <c r="D75" s="2" t="s">
        <v>12</v>
      </c>
      <c r="E75" s="2" t="s">
        <v>47</v>
      </c>
      <c r="F75" s="3">
        <v>2.7</v>
      </c>
      <c r="G75" s="4" t="str">
        <f>HYPERLINK("https://us.bebee.com/job/a8466b7345879a8c8c06b0e37840362f?utm_campaign=google_jobs_apply&amp;utm_source=google_jobs_apply&amp;utm_medium=organic", "Link")</f>
        <v>Link</v>
      </c>
      <c r="H75" s="5">
        <v>46048.0</v>
      </c>
      <c r="I75" s="6"/>
    </row>
    <row r="76">
      <c r="A76" s="2" t="s">
        <v>148</v>
      </c>
      <c r="B76" s="2" t="s">
        <v>149</v>
      </c>
      <c r="C76" s="2" t="s">
        <v>11</v>
      </c>
      <c r="D76" s="2" t="s">
        <v>12</v>
      </c>
      <c r="E76" s="2" t="s">
        <v>47</v>
      </c>
      <c r="F76" s="3">
        <v>2.7</v>
      </c>
      <c r="G76" s="4" t="str">
        <f>HYPERLINK("https://talents.vaia.com/companies/apps1010-limited/unity-game-developer-18992545/?utm_campaign=google_jobs_apply&amp;utm_source=google_jobs_apply&amp;utm_medium=organic", "Link")</f>
        <v>Link</v>
      </c>
      <c r="H76" s="5">
        <v>46048.0</v>
      </c>
      <c r="I76" s="6"/>
    </row>
    <row r="77">
      <c r="A77" s="2" t="s">
        <v>150</v>
      </c>
      <c r="B77" s="2" t="s">
        <v>151</v>
      </c>
      <c r="C77" s="2" t="s">
        <v>11</v>
      </c>
      <c r="D77" s="2" t="s">
        <v>12</v>
      </c>
      <c r="E77" s="2" t="s">
        <v>47</v>
      </c>
      <c r="F77" s="3">
        <v>2.7</v>
      </c>
      <c r="G77" s="4" t="str">
        <f>HYPERLINK("https://headlightny.com/library/job/12615-unity-and-c-prototype-developer-arvr-onsite-at-qualitest-washington-dc-L2I1UHBjMXNKWjdaRUEyRDZLOGFZUmtJanc9PQ==?utm_campaign=google_jobs_apply&amp;utm_source=google_jobs_apply&amp;utm_medium=organic", "Link")</f>
        <v>Link</v>
      </c>
      <c r="H77" s="5">
        <v>46071.0</v>
      </c>
      <c r="I77" s="6"/>
    </row>
    <row r="78">
      <c r="A78" s="2" t="s">
        <v>152</v>
      </c>
      <c r="B78" s="2" t="s">
        <v>153</v>
      </c>
      <c r="C78" s="2" t="s">
        <v>11</v>
      </c>
      <c r="D78" s="2" t="s">
        <v>12</v>
      </c>
      <c r="E78" s="2" t="s">
        <v>47</v>
      </c>
      <c r="F78" s="3">
        <v>2.7</v>
      </c>
      <c r="G78" s="4" t="str">
        <f>HYPERLINK("https://sportstechjobs.com/engine-programmer-uefn-epic-games/680b32ffa6fd1c5bcf7ae725?utm_campaign=google_jobs_apply&amp;utm_source=google_jobs_apply&amp;utm_medium=organic", "Link")</f>
        <v>Link</v>
      </c>
      <c r="H78" s="5">
        <v>46067.0</v>
      </c>
      <c r="I78" s="6"/>
    </row>
    <row r="79">
      <c r="A79" s="2" t="s">
        <v>154</v>
      </c>
      <c r="B79" s="2" t="s">
        <v>153</v>
      </c>
      <c r="C79" s="2" t="s">
        <v>11</v>
      </c>
      <c r="D79" s="2" t="s">
        <v>12</v>
      </c>
      <c r="E79" s="2" t="s">
        <v>47</v>
      </c>
      <c r="F79" s="3">
        <v>2.7</v>
      </c>
      <c r="G79" s="4" t="str">
        <f>HYPERLINK("https://gamejobs.co/Lead-Engine-Programmer-at-Epic-Games-9183?utm_campaign=google_jobs_apply&amp;utm_source=google_jobs_apply&amp;utm_medium=organic", "Link")</f>
        <v>Link</v>
      </c>
      <c r="H79" s="5">
        <v>46073.0</v>
      </c>
      <c r="I79" s="6"/>
    </row>
    <row r="80">
      <c r="A80" s="2" t="s">
        <v>155</v>
      </c>
      <c r="B80" s="2" t="s">
        <v>156</v>
      </c>
      <c r="C80" s="2" t="s">
        <v>11</v>
      </c>
      <c r="D80" s="2" t="s">
        <v>12</v>
      </c>
      <c r="E80" s="2" t="s">
        <v>47</v>
      </c>
      <c r="F80" s="3">
        <v>2.7</v>
      </c>
      <c r="G80" s="4" t="str">
        <f>HYPERLINK("https://jobs.chronicle.com/job/37947952/project-developer-virginia-serious-game-institute-vsgi-/?utm_campaign=google_jobs_apply&amp;utm_source=google_jobs_apply&amp;utm_medium=organic", "Link")</f>
        <v>Link</v>
      </c>
      <c r="H80" s="7"/>
      <c r="I80" s="6"/>
    </row>
    <row r="81">
      <c r="A81" s="2" t="s">
        <v>157</v>
      </c>
      <c r="B81" s="2" t="s">
        <v>158</v>
      </c>
      <c r="C81" s="2" t="s">
        <v>11</v>
      </c>
      <c r="D81" s="2" t="s">
        <v>12</v>
      </c>
      <c r="E81" s="2" t="s">
        <v>47</v>
      </c>
      <c r="F81" s="3">
        <v>2.7</v>
      </c>
      <c r="G81" s="4" t="str">
        <f>HYPERLINK("https://jobs.jobvite.com/rhi/job/ohXgWfwa?utm_campaign=google_jobs_apply&amp;utm_source=google_jobs_apply&amp;utm_medium=organic", "Link")</f>
        <v>Link</v>
      </c>
      <c r="H81" s="5">
        <v>46069.0</v>
      </c>
      <c r="I81" s="6"/>
    </row>
    <row r="82">
      <c r="A82" s="2" t="s">
        <v>159</v>
      </c>
      <c r="B82" s="2" t="s">
        <v>160</v>
      </c>
      <c r="C82" s="2" t="s">
        <v>11</v>
      </c>
      <c r="D82" s="2" t="s">
        <v>12</v>
      </c>
      <c r="E82" s="2" t="s">
        <v>47</v>
      </c>
      <c r="F82" s="3">
        <v>2.7</v>
      </c>
      <c r="G82" s="4" t="str">
        <f>HYPERLINK("https://www.jobilize.com/amp/job/us-md-baltimore-gameplay-engineer-disney-experiences-hiring-now-job?utm_campaign=google_jobs_apply&amp;utm_source=google_jobs_apply&amp;utm_medium=organic", "Link")</f>
        <v>Link</v>
      </c>
      <c r="H82" s="5">
        <v>46075.0</v>
      </c>
      <c r="I82" s="6"/>
    </row>
    <row r="83">
      <c r="A83" s="2" t="s">
        <v>161</v>
      </c>
      <c r="B83" s="2" t="s">
        <v>91</v>
      </c>
      <c r="C83" s="2" t="s">
        <v>17</v>
      </c>
      <c r="D83" s="2" t="s">
        <v>18</v>
      </c>
      <c r="E83" s="2" t="s">
        <v>47</v>
      </c>
      <c r="F83" s="3">
        <v>2.6</v>
      </c>
      <c r="G83" s="4" t="str">
        <f>HYPERLINK("https://tr.linkedin.com/jobs/view/teknoloji-ve-ak%C4%B1ll%C4%B1-sistemler-m%C3%BChendisi-at-aselsan-4374228834", "LinkedIn")</f>
        <v>LinkedIn</v>
      </c>
      <c r="H83" s="5">
        <v>46076.0</v>
      </c>
      <c r="I83" s="6"/>
    </row>
    <row r="84">
      <c r="A84" s="2" t="s">
        <v>162</v>
      </c>
      <c r="B84" s="2" t="s">
        <v>163</v>
      </c>
      <c r="C84" s="2" t="s">
        <v>164</v>
      </c>
      <c r="D84" s="2" t="s">
        <v>18</v>
      </c>
      <c r="E84" s="2" t="s">
        <v>47</v>
      </c>
      <c r="F84" s="3">
        <v>2.6</v>
      </c>
      <c r="G84" s="4" t="str">
        <f>HYPERLINK("https://tr.linkedin.com/jobs/view/g%C3%B6r%C3%BCnt%C3%BC-i%CC%87%C5%9Fleme-yaz%C4%B1l%C4%B1m-m%C3%BChendisi-at-ate%C5%9F-labs-4376758483", "LinkedIn")</f>
        <v>LinkedIn</v>
      </c>
      <c r="H84" s="5">
        <v>46078.0</v>
      </c>
      <c r="I84" s="6"/>
    </row>
    <row r="85">
      <c r="A85" s="2" t="s">
        <v>165</v>
      </c>
      <c r="B85" s="2" t="s">
        <v>91</v>
      </c>
      <c r="C85" s="2" t="s">
        <v>17</v>
      </c>
      <c r="D85" s="2" t="s">
        <v>18</v>
      </c>
      <c r="E85" s="2" t="s">
        <v>47</v>
      </c>
      <c r="F85" s="3">
        <v>2.6</v>
      </c>
      <c r="G85" s="4" t="str">
        <f>HYPERLINK("https://tr.linkedin.com/jobs/view/sinyal-analiz-yaz%C4%B1l%C4%B1m-m%C3%BChendisi-at-aselsan-4374257101", "LinkedIn")</f>
        <v>LinkedIn</v>
      </c>
      <c r="H85" s="5">
        <v>46076.0</v>
      </c>
      <c r="I85" s="6"/>
    </row>
    <row r="86">
      <c r="A86" s="2" t="s">
        <v>166</v>
      </c>
      <c r="B86" s="2" t="s">
        <v>102</v>
      </c>
      <c r="C86" s="2" t="s">
        <v>17</v>
      </c>
      <c r="D86" s="2" t="s">
        <v>18</v>
      </c>
      <c r="E86" s="2" t="s">
        <v>47</v>
      </c>
      <c r="F86" s="3">
        <v>2.6</v>
      </c>
      <c r="G86" s="4" t="str">
        <f>HYPERLINK("https://tr.linkedin.com/jobs/view/yaz%C4%B1l%C4%B1m-m%C3%BChendisi-at-sinyalizasyon-elektronik-4375537015", "LinkedIn")</f>
        <v>LinkedIn</v>
      </c>
      <c r="H86" s="5">
        <v>46079.0</v>
      </c>
      <c r="I86" s="6"/>
    </row>
    <row r="87">
      <c r="A87" s="2" t="s">
        <v>167</v>
      </c>
      <c r="B87" s="2" t="s">
        <v>168</v>
      </c>
      <c r="C87" s="2" t="s">
        <v>17</v>
      </c>
      <c r="D87" s="2" t="s">
        <v>18</v>
      </c>
      <c r="E87" s="2" t="s">
        <v>47</v>
      </c>
      <c r="F87" s="3">
        <v>2.6</v>
      </c>
      <c r="G87" s="4" t="str">
        <f>HYPERLINK("https://tr.linkedin.com/jobs/view/yaz%C4%B1l%C4%B1m-uzman%C4%B1-at-confidential-4378386271", "LinkedIn")</f>
        <v>LinkedIn</v>
      </c>
      <c r="H87" s="5">
        <v>46079.0</v>
      </c>
      <c r="I87" s="6"/>
    </row>
    <row r="88">
      <c r="A88" s="2" t="s">
        <v>169</v>
      </c>
      <c r="B88" s="2" t="s">
        <v>91</v>
      </c>
      <c r="C88" s="2" t="s">
        <v>17</v>
      </c>
      <c r="D88" s="2" t="s">
        <v>18</v>
      </c>
      <c r="E88" s="2" t="s">
        <v>47</v>
      </c>
      <c r="F88" s="3">
        <v>2.6</v>
      </c>
      <c r="G88" s="4" t="str">
        <f>HYPERLINK("https://tr.linkedin.com/jobs/view/stabilize-sistemler-algoritma-tasar%C4%B1m-m%C3%BChendisi-at-aselsan-4375930320", "LinkedIn")</f>
        <v>LinkedIn</v>
      </c>
      <c r="H88" s="5">
        <v>46080.0</v>
      </c>
      <c r="I88" s="6"/>
    </row>
    <row r="89">
      <c r="A89" s="2" t="s">
        <v>170</v>
      </c>
      <c r="B89" s="6"/>
      <c r="C89" s="2" t="s">
        <v>17</v>
      </c>
      <c r="D89" s="2" t="s">
        <v>41</v>
      </c>
      <c r="E89" s="2" t="s">
        <v>47</v>
      </c>
      <c r="F89" s="3">
        <v>2.6</v>
      </c>
      <c r="G89" s="4" t="str">
        <f>HYPERLINK("https://himalayas.app/companies/pndlm/jobs/javascript-php-engineer-full-time-telecommute", "Himalayas")</f>
        <v>Himalayas</v>
      </c>
      <c r="H89" s="5">
        <v>46084.0</v>
      </c>
      <c r="I89" s="6"/>
    </row>
    <row r="90">
      <c r="A90" s="2" t="s">
        <v>171</v>
      </c>
      <c r="B90" s="2" t="s">
        <v>172</v>
      </c>
      <c r="C90" s="2" t="s">
        <v>22</v>
      </c>
      <c r="D90" s="2" t="s">
        <v>12</v>
      </c>
      <c r="E90" s="2" t="s">
        <v>47</v>
      </c>
      <c r="F90" s="3">
        <v>2.4</v>
      </c>
      <c r="G90" s="4" t="str">
        <f>HYPERLINK("https://www.ziprecruiter.com/c/NetVision-Resources/Job/Sr.-Software-Developer/-in-Bethesda,MD?jid=f1320a005f16f26a&amp;utm_campaign=google_jobs_apply&amp;utm_source=google_jobs_apply&amp;utm_medium=organic", "Link")</f>
        <v>Link</v>
      </c>
      <c r="H90" s="5">
        <v>46084.0</v>
      </c>
      <c r="I90" s="6"/>
    </row>
    <row r="91">
      <c r="A91" s="2" t="s">
        <v>173</v>
      </c>
      <c r="B91" s="2" t="s">
        <v>16</v>
      </c>
      <c r="C91" s="2" t="s">
        <v>22</v>
      </c>
      <c r="D91" s="2" t="s">
        <v>12</v>
      </c>
      <c r="E91" s="2" t="s">
        <v>47</v>
      </c>
      <c r="F91" s="3">
        <v>2.4</v>
      </c>
      <c r="G91" s="4" t="str">
        <f>HYPERLINK("https://tr.linkedin.com/jobs/view/software-development-engineer-at-siemens-4374090737", "LinkedIn")</f>
        <v>LinkedIn</v>
      </c>
      <c r="H91" s="5">
        <v>46072.0</v>
      </c>
      <c r="I91" s="6"/>
    </row>
    <row r="92">
      <c r="A92" s="2" t="s">
        <v>174</v>
      </c>
      <c r="B92" s="2" t="s">
        <v>175</v>
      </c>
      <c r="C92" s="2" t="s">
        <v>37</v>
      </c>
      <c r="D92" s="2" t="s">
        <v>12</v>
      </c>
      <c r="E92" s="2" t="s">
        <v>47</v>
      </c>
      <c r="F92" s="3">
        <v>2.4</v>
      </c>
      <c r="G92" s="4" t="str">
        <f>HYPERLINK("https://tr.linkedin.com/jobs/view/data-analyst-growth-at-rollic-4374570013", "LinkedIn")</f>
        <v>LinkedIn</v>
      </c>
      <c r="H92" s="5">
        <v>46077.0</v>
      </c>
      <c r="I92" s="6"/>
    </row>
    <row r="93">
      <c r="A93" s="2" t="s">
        <v>176</v>
      </c>
      <c r="B93" s="2" t="s">
        <v>175</v>
      </c>
      <c r="C93" s="2" t="s">
        <v>22</v>
      </c>
      <c r="D93" s="2" t="s">
        <v>12</v>
      </c>
      <c r="E93" s="2" t="s">
        <v>47</v>
      </c>
      <c r="F93" s="3">
        <v>2.4</v>
      </c>
      <c r="G93" s="4" t="str">
        <f>HYPERLINK("https://tr.linkedin.com/jobs/view/software-engineer-at-rollic-4377369869", "LinkedIn")</f>
        <v>LinkedIn</v>
      </c>
      <c r="H93" s="5">
        <v>46083.0</v>
      </c>
      <c r="I93" s="6"/>
    </row>
    <row r="94">
      <c r="A94" s="2" t="s">
        <v>177</v>
      </c>
      <c r="B94" s="2" t="s">
        <v>142</v>
      </c>
      <c r="C94" s="2" t="s">
        <v>22</v>
      </c>
      <c r="D94" s="2" t="s">
        <v>12</v>
      </c>
      <c r="E94" s="2" t="s">
        <v>47</v>
      </c>
      <c r="F94" s="3">
        <v>2.4</v>
      </c>
      <c r="G94" s="4" t="str">
        <f>HYPERLINK("https://tr.linkedin.com/jobs/view/yaz%C4%B1l%C4%B1m-geli%C5%9Ftirme-m%C3%BChendisi-net-angular-at-tei-tusa%C5%9F-engine-industries-inc-4375926208", "LinkedIn")</f>
        <v>LinkedIn</v>
      </c>
      <c r="H94" s="5">
        <v>46080.0</v>
      </c>
      <c r="I94" s="6"/>
    </row>
    <row r="95">
      <c r="A95" s="2" t="s">
        <v>176</v>
      </c>
      <c r="B95" s="2" t="s">
        <v>178</v>
      </c>
      <c r="C95" s="2" t="s">
        <v>22</v>
      </c>
      <c r="D95" s="2" t="s">
        <v>12</v>
      </c>
      <c r="E95" s="2" t="s">
        <v>47</v>
      </c>
      <c r="F95" s="3">
        <v>2.4</v>
      </c>
      <c r="G95" s="4" t="str">
        <f>HYPERLINK("https://tr.linkedin.com/jobs/view/software-engineer-at-deloitte-4373703207", "LinkedIn")</f>
        <v>LinkedIn</v>
      </c>
      <c r="H95" s="5">
        <v>46073.0</v>
      </c>
      <c r="I95" s="6"/>
    </row>
    <row r="96">
      <c r="A96" s="2" t="s">
        <v>179</v>
      </c>
      <c r="B96" s="2" t="s">
        <v>180</v>
      </c>
      <c r="C96" s="2" t="s">
        <v>22</v>
      </c>
      <c r="D96" s="2" t="s">
        <v>12</v>
      </c>
      <c r="E96" s="2" t="s">
        <v>47</v>
      </c>
      <c r="F96" s="3">
        <v>2.4</v>
      </c>
      <c r="G96" s="4" t="str">
        <f>HYPERLINK("https://tr.linkedin.com/jobs/view/software-developer-net-at-adesso-turkey-4376589679", "LinkedIn")</f>
        <v>LinkedIn</v>
      </c>
      <c r="H96" s="5">
        <v>46076.0</v>
      </c>
      <c r="I96" s="6"/>
    </row>
    <row r="97">
      <c r="A97" s="2" t="s">
        <v>176</v>
      </c>
      <c r="B97" s="2" t="s">
        <v>26</v>
      </c>
      <c r="C97" s="2" t="s">
        <v>22</v>
      </c>
      <c r="D97" s="2" t="s">
        <v>12</v>
      </c>
      <c r="E97" s="2" t="s">
        <v>47</v>
      </c>
      <c r="F97" s="3">
        <v>2.4</v>
      </c>
      <c r="G97" s="4" t="str">
        <f>HYPERLINK("https://tr.linkedin.com/jobs/view/software-engineer-at-dream-games-3630450075", "LinkedIn")</f>
        <v>LinkedIn</v>
      </c>
      <c r="H97" s="5">
        <v>46069.0</v>
      </c>
      <c r="I97" s="6"/>
    </row>
    <row r="98">
      <c r="A98" s="2" t="s">
        <v>181</v>
      </c>
      <c r="B98" s="2" t="s">
        <v>182</v>
      </c>
      <c r="C98" s="2" t="s">
        <v>22</v>
      </c>
      <c r="D98" s="2" t="s">
        <v>12</v>
      </c>
      <c r="E98" s="2" t="s">
        <v>47</v>
      </c>
      <c r="F98" s="3">
        <v>2.4</v>
      </c>
      <c r="G98" s="4" t="str">
        <f>HYPERLINK("https://tr.linkedin.com/jobs/view/at-in-net-fundamentals-at-epam-systems-4371944457", "LinkedIn")</f>
        <v>LinkedIn</v>
      </c>
      <c r="H98" s="5">
        <v>46070.0</v>
      </c>
      <c r="I98" s="6"/>
    </row>
    <row r="99">
      <c r="A99" s="2" t="s">
        <v>183</v>
      </c>
      <c r="B99" s="2" t="s">
        <v>184</v>
      </c>
      <c r="C99" s="2" t="s">
        <v>22</v>
      </c>
      <c r="D99" s="2" t="s">
        <v>12</v>
      </c>
      <c r="E99" s="2" t="s">
        <v>47</v>
      </c>
      <c r="F99" s="3">
        <v>2.4</v>
      </c>
      <c r="G99" s="4" t="str">
        <f>HYPERLINK("https://tr.linkedin.com/jobs/view/software-developer-at-chippin-4371277154", "LinkedIn")</f>
        <v>LinkedIn</v>
      </c>
      <c r="H99" s="5">
        <v>46064.0</v>
      </c>
      <c r="I99" s="6"/>
    </row>
    <row r="100">
      <c r="A100" s="2" t="s">
        <v>176</v>
      </c>
      <c r="B100" s="2" t="s">
        <v>185</v>
      </c>
      <c r="C100" s="2" t="s">
        <v>22</v>
      </c>
      <c r="D100" s="2" t="s">
        <v>12</v>
      </c>
      <c r="E100" s="2" t="s">
        <v>47</v>
      </c>
      <c r="F100" s="3">
        <v>2.4</v>
      </c>
      <c r="G100" s="4" t="str">
        <f>HYPERLINK("https://tr.linkedin.com/jobs/view/software-engineer-at-crs-soft-4352588132", "LinkedIn")</f>
        <v>LinkedIn</v>
      </c>
      <c r="H100" s="5">
        <v>46062.0</v>
      </c>
      <c r="I100" s="6"/>
    </row>
    <row r="101">
      <c r="A101" s="2" t="s">
        <v>186</v>
      </c>
      <c r="B101" s="2" t="s">
        <v>187</v>
      </c>
      <c r="C101" s="2" t="s">
        <v>22</v>
      </c>
      <c r="D101" s="2" t="s">
        <v>12</v>
      </c>
      <c r="E101" s="2" t="s">
        <v>47</v>
      </c>
      <c r="F101" s="3">
        <v>2.4</v>
      </c>
      <c r="G101" s="4" t="str">
        <f>HYPERLINK("https://tr.linkedin.com/jobs/view/software-developer-micro-integration-architecture-at-intertech-information-technology-and-marketing-inc-4375937454", "LinkedIn")</f>
        <v>LinkedIn</v>
      </c>
      <c r="H101" s="5">
        <v>46080.0</v>
      </c>
      <c r="I101" s="6"/>
    </row>
    <row r="102">
      <c r="A102" s="2" t="s">
        <v>183</v>
      </c>
      <c r="B102" s="2" t="s">
        <v>188</v>
      </c>
      <c r="C102" s="2" t="s">
        <v>22</v>
      </c>
      <c r="D102" s="2" t="s">
        <v>12</v>
      </c>
      <c r="E102" s="2" t="s">
        <v>47</v>
      </c>
      <c r="F102" s="3">
        <v>2.4</v>
      </c>
      <c r="G102" s="4" t="str">
        <f>HYPERLINK("https://tr.linkedin.com/jobs/view/software-developer-at-appsilon-enterprise-4311268802", "LinkedIn")</f>
        <v>LinkedIn</v>
      </c>
      <c r="H102" s="5">
        <v>46080.0</v>
      </c>
      <c r="I102" s="6"/>
    </row>
    <row r="103">
      <c r="A103" s="2" t="s">
        <v>189</v>
      </c>
      <c r="B103" s="2" t="s">
        <v>190</v>
      </c>
      <c r="C103" s="2" t="s">
        <v>37</v>
      </c>
      <c r="D103" s="2" t="s">
        <v>12</v>
      </c>
      <c r="E103" s="2" t="s">
        <v>47</v>
      </c>
      <c r="F103" s="3">
        <v>2.4</v>
      </c>
      <c r="G103" s="4" t="str">
        <f>HYPERLINK("https://himalayas.app/companies/mindrift/jobs/physics-researcher-python-freelance-ai-trainer-2292368192", "Himalayas")</f>
        <v>Himalayas</v>
      </c>
      <c r="H103" s="5">
        <v>46084.0</v>
      </c>
      <c r="I103" s="6"/>
    </row>
    <row r="104">
      <c r="A104" s="2" t="s">
        <v>191</v>
      </c>
      <c r="B104" s="2"/>
      <c r="C104" s="2" t="s">
        <v>22</v>
      </c>
      <c r="D104" s="2" t="s">
        <v>12</v>
      </c>
      <c r="E104" s="2" t="s">
        <v>47</v>
      </c>
      <c r="F104" s="3">
        <v>2.4</v>
      </c>
      <c r="G104" s="4" t="str">
        <f>HYPERLINK("https://himalayas.app/companies/ats-rippling/jobs/cloud-networking-engineer", "Himalayas")</f>
        <v>Himalayas</v>
      </c>
      <c r="H104" s="5">
        <v>46084.0</v>
      </c>
      <c r="I104" s="6"/>
    </row>
    <row r="105">
      <c r="A105" s="2" t="s">
        <v>192</v>
      </c>
      <c r="B105" s="2" t="s">
        <v>193</v>
      </c>
      <c r="C105" s="2" t="s">
        <v>83</v>
      </c>
      <c r="D105" s="2" t="s">
        <v>12</v>
      </c>
      <c r="E105" s="2" t="s">
        <v>47</v>
      </c>
      <c r="F105" s="3">
        <v>2.4</v>
      </c>
      <c r="G105" s="4" t="str">
        <f>HYPERLINK("https://himalayas.app/companies/northwell-health/jobs/occupational-therapist-rehab-at-home-nassau-part-time", "Himalayas")</f>
        <v>Himalayas</v>
      </c>
      <c r="H105" s="5">
        <v>46084.0</v>
      </c>
      <c r="I105" s="6"/>
    </row>
    <row r="106">
      <c r="A106" s="2" t="s">
        <v>194</v>
      </c>
      <c r="B106" s="2" t="s">
        <v>195</v>
      </c>
      <c r="C106" s="2" t="s">
        <v>17</v>
      </c>
      <c r="D106" s="2" t="s">
        <v>12</v>
      </c>
      <c r="E106" s="2" t="s">
        <v>42</v>
      </c>
      <c r="F106" s="3">
        <v>2.4</v>
      </c>
      <c r="G106" s="4" t="str">
        <f>HYPERLINK("https://himalayas.app/companies/lockheed-martin/jobs/adp-test-automation-script-development-level-2", "Himalayas")</f>
        <v>Himalayas</v>
      </c>
      <c r="H106" s="5">
        <v>46084.0</v>
      </c>
      <c r="I106" s="6"/>
    </row>
    <row r="107">
      <c r="A107" s="2" t="s">
        <v>196</v>
      </c>
      <c r="B107" s="2"/>
      <c r="C107" s="2" t="s">
        <v>44</v>
      </c>
      <c r="D107" s="2" t="s">
        <v>41</v>
      </c>
      <c r="E107" s="2" t="s">
        <v>47</v>
      </c>
      <c r="F107" s="3">
        <v>2.3</v>
      </c>
      <c r="G107" s="4" t="str">
        <f>HYPERLINK("https://weworkremotely.com/remote-jobs/wevote-fundraiser-volunteer-ambassador", "WWRemotely")</f>
        <v>WWRemotely</v>
      </c>
      <c r="H107" s="5">
        <v>46056.0</v>
      </c>
      <c r="I107" s="2"/>
    </row>
    <row r="108">
      <c r="A108" s="2" t="s">
        <v>197</v>
      </c>
      <c r="B108" s="2"/>
      <c r="C108" s="2" t="s">
        <v>44</v>
      </c>
      <c r="D108" s="2" t="s">
        <v>41</v>
      </c>
      <c r="E108" s="2" t="s">
        <v>47</v>
      </c>
      <c r="F108" s="3">
        <v>2.3</v>
      </c>
      <c r="G108" s="4" t="str">
        <f>HYPERLINK("https://weworkremotely.com/remote-jobs/dealer-eprocess-regional-sales-executive-account-manager-1", "WWRemotely")</f>
        <v>WWRemotely</v>
      </c>
      <c r="H108" s="5">
        <v>46055.0</v>
      </c>
      <c r="I108" s="2"/>
    </row>
    <row r="109">
      <c r="A109" s="2" t="s">
        <v>198</v>
      </c>
      <c r="B109" s="2"/>
      <c r="C109" s="2" t="s">
        <v>44</v>
      </c>
      <c r="D109" s="2" t="s">
        <v>41</v>
      </c>
      <c r="E109" s="2" t="s">
        <v>47</v>
      </c>
      <c r="F109" s="3">
        <v>2.3</v>
      </c>
      <c r="G109" s="4" t="str">
        <f>HYPERLINK("https://himalayas.app/companies/evolution-sports-group/jobs/remote-estimating-assistant-procurement-coordinator", "Himalayas")</f>
        <v>Himalayas</v>
      </c>
      <c r="H109" s="5">
        <v>46084.0</v>
      </c>
      <c r="I109" s="6"/>
    </row>
    <row r="110">
      <c r="A110" s="2" t="s">
        <v>199</v>
      </c>
      <c r="B110" s="2" t="s">
        <v>200</v>
      </c>
      <c r="C110" s="2" t="s">
        <v>44</v>
      </c>
      <c r="D110" s="2" t="s">
        <v>18</v>
      </c>
      <c r="E110" s="2" t="s">
        <v>47</v>
      </c>
      <c r="F110" s="3">
        <v>2.3</v>
      </c>
      <c r="G110" s="4" t="str">
        <f>HYPERLINK("https://tr.linkedin.com/jobs/view/dijital-s%C3%BCre%C3%A7-uzman%C4%B1-test-at-infera-teknoloji-4380910526", "LinkedIn")</f>
        <v>LinkedIn</v>
      </c>
      <c r="H110" s="5">
        <v>46085.0</v>
      </c>
      <c r="I110" s="6"/>
    </row>
    <row r="111">
      <c r="A111" s="2" t="s">
        <v>201</v>
      </c>
      <c r="B111" s="2" t="s">
        <v>202</v>
      </c>
      <c r="C111" s="2" t="s">
        <v>44</v>
      </c>
      <c r="D111" s="2" t="s">
        <v>41</v>
      </c>
      <c r="E111" s="2" t="s">
        <v>47</v>
      </c>
      <c r="F111" s="3">
        <v>2.3</v>
      </c>
      <c r="G111" s="4" t="str">
        <f>HYPERLINK("https://himalayas.app/companies/wellsense-health-plan/jobs/ft-administrative-coordinator-work-from-home", "Himalayas")</f>
        <v>Himalayas</v>
      </c>
      <c r="H111" s="5">
        <v>46084.0</v>
      </c>
      <c r="I111" s="6"/>
    </row>
    <row r="112">
      <c r="A112" s="2" t="s">
        <v>203</v>
      </c>
      <c r="B112" s="2"/>
      <c r="C112" s="2" t="s">
        <v>44</v>
      </c>
      <c r="D112" s="2" t="s">
        <v>41</v>
      </c>
      <c r="E112" s="2" t="s">
        <v>47</v>
      </c>
      <c r="F112" s="3">
        <v>2.3</v>
      </c>
      <c r="G112" s="4" t="str">
        <f>HYPERLINK("https://himalayas.app/companies/forrest-general-hospital/jobs/epic-analyst-clinical-nursing-emphasis-telecommute-within-100-miles", "Himalayas")</f>
        <v>Himalayas</v>
      </c>
      <c r="H112" s="5">
        <v>46084.0</v>
      </c>
      <c r="I112" s="6"/>
    </row>
    <row r="113">
      <c r="A113" s="2" t="s">
        <v>204</v>
      </c>
      <c r="B113" s="2"/>
      <c r="C113" s="2" t="s">
        <v>44</v>
      </c>
      <c r="D113" s="2" t="s">
        <v>41</v>
      </c>
      <c r="E113" s="2" t="s">
        <v>47</v>
      </c>
      <c r="F113" s="3">
        <v>2.3</v>
      </c>
      <c r="G113" s="4" t="str">
        <f>HYPERLINK("https://himalayas.app/companies/supportyourapp/jobs/american-english-customer-support-consultant-1829265337", "Himalayas")</f>
        <v>Himalayas</v>
      </c>
      <c r="H113" s="5">
        <v>46084.0</v>
      </c>
      <c r="I113" s="6"/>
    </row>
    <row r="114">
      <c r="A114" s="2" t="s">
        <v>205</v>
      </c>
      <c r="B114" s="2"/>
      <c r="C114" s="2" t="s">
        <v>44</v>
      </c>
      <c r="D114" s="2" t="s">
        <v>41</v>
      </c>
      <c r="E114" s="2" t="s">
        <v>47</v>
      </c>
      <c r="F114" s="3">
        <v>2.3</v>
      </c>
      <c r="G114" s="4" t="str">
        <f>HYPERLINK("https://himalayas.app/companies/abbott/jobs/account-manager-north-central-fl", "Himalayas")</f>
        <v>Himalayas</v>
      </c>
      <c r="H114" s="5">
        <v>46084.0</v>
      </c>
      <c r="I114" s="6"/>
    </row>
    <row r="115">
      <c r="A115" s="2" t="s">
        <v>201</v>
      </c>
      <c r="B115" s="2" t="s">
        <v>202</v>
      </c>
      <c r="C115" s="2" t="s">
        <v>44</v>
      </c>
      <c r="D115" s="2" t="s">
        <v>41</v>
      </c>
      <c r="E115" s="2" t="s">
        <v>47</v>
      </c>
      <c r="F115" s="3">
        <v>2.3</v>
      </c>
      <c r="G115" s="4" t="str">
        <f>HYPERLINK("https://himalayas.app/companies/cennox/jobs/ft-administrative-coordinator-work-from-home", "Himalayas")</f>
        <v>Himalayas</v>
      </c>
      <c r="H115" s="5">
        <v>46084.0</v>
      </c>
      <c r="I115" s="6"/>
    </row>
    <row r="116">
      <c r="A116" s="2" t="s">
        <v>206</v>
      </c>
      <c r="B116" s="6"/>
      <c r="C116" s="2" t="s">
        <v>44</v>
      </c>
      <c r="D116" s="2" t="s">
        <v>41</v>
      </c>
      <c r="E116" s="2" t="s">
        <v>47</v>
      </c>
      <c r="F116" s="3">
        <v>2.3</v>
      </c>
      <c r="G116" s="4" t="str">
        <f>HYPERLINK("https://himalayas.app/companies/bausch-health/jobs/territory-manager-pcp-tacoma-wa", "Himalayas")</f>
        <v>Himalayas</v>
      </c>
      <c r="H116" s="5">
        <v>46084.0</v>
      </c>
      <c r="I116" s="6"/>
    </row>
    <row r="117">
      <c r="A117" s="2" t="s">
        <v>207</v>
      </c>
      <c r="B117" s="2" t="s">
        <v>109</v>
      </c>
      <c r="C117" s="2" t="s">
        <v>44</v>
      </c>
      <c r="D117" s="2" t="s">
        <v>41</v>
      </c>
      <c r="E117" s="2" t="s">
        <v>47</v>
      </c>
      <c r="F117" s="3">
        <v>2.3</v>
      </c>
      <c r="G117" s="4" t="str">
        <f>HYPERLINK("https://himalayas.app/companies/optum/jobs/nurse-case-manager-tulsa-ok-area-remote", "Himalayas")</f>
        <v>Himalayas</v>
      </c>
      <c r="H117" s="5">
        <v>46084.0</v>
      </c>
      <c r="I117" s="6"/>
    </row>
    <row r="118">
      <c r="A118" s="2" t="s">
        <v>208</v>
      </c>
      <c r="B118" s="2"/>
      <c r="C118" s="2" t="s">
        <v>44</v>
      </c>
      <c r="D118" s="2" t="s">
        <v>41</v>
      </c>
      <c r="E118" s="2" t="s">
        <v>47</v>
      </c>
      <c r="F118" s="3">
        <v>2.3</v>
      </c>
      <c r="G118" s="4" t="str">
        <f>HYPERLINK("https://himalayas.app/companies/christianacare/jobs/christianacare-neuroradiologist-100-remote-with-sign-on", "Himalayas")</f>
        <v>Himalayas</v>
      </c>
      <c r="H118" s="5">
        <v>46084.0</v>
      </c>
      <c r="I118" s="6"/>
    </row>
    <row r="119">
      <c r="A119" s="2" t="s">
        <v>209</v>
      </c>
      <c r="B119" s="2" t="s">
        <v>210</v>
      </c>
      <c r="C119" s="2" t="s">
        <v>44</v>
      </c>
      <c r="D119" s="2" t="s">
        <v>41</v>
      </c>
      <c r="E119" s="2" t="s">
        <v>47</v>
      </c>
      <c r="F119" s="3">
        <v>2.3</v>
      </c>
      <c r="G119" s="4" t="str">
        <f>HYPERLINK("https://himalayas.app/companies/vxi-global-solutions-llc/jobs/us-virtual-healthcare-call-center-representative-work-from-home", "Himalayas")</f>
        <v>Himalayas</v>
      </c>
      <c r="H119" s="5">
        <v>46084.0</v>
      </c>
      <c r="I119" s="6"/>
    </row>
    <row r="120">
      <c r="A120" s="2" t="s">
        <v>211</v>
      </c>
      <c r="B120" s="2" t="s">
        <v>212</v>
      </c>
      <c r="C120" s="2" t="s">
        <v>44</v>
      </c>
      <c r="D120" s="2" t="s">
        <v>41</v>
      </c>
      <c r="E120" s="2" t="s">
        <v>47</v>
      </c>
      <c r="F120" s="3">
        <v>2.3</v>
      </c>
      <c r="G120" s="4" t="str">
        <f>HYPERLINK("https://himalayas.app/companies/optimindhealth/jobs/psychiatric-nurse-practitioner-pmhnp-bc-fall-river-ma", "Himalayas")</f>
        <v>Himalayas</v>
      </c>
      <c r="H120" s="5">
        <v>46084.0</v>
      </c>
      <c r="I120" s="6"/>
    </row>
    <row r="121">
      <c r="A121" s="2" t="s">
        <v>213</v>
      </c>
      <c r="B121" s="2"/>
      <c r="C121" s="2" t="s">
        <v>44</v>
      </c>
      <c r="D121" s="2" t="s">
        <v>41</v>
      </c>
      <c r="E121" s="2" t="s">
        <v>47</v>
      </c>
      <c r="F121" s="3">
        <v>2.3</v>
      </c>
      <c r="G121" s="4" t="str">
        <f>HYPERLINK("https://himalayas.app/companies/talentworldgroup/jobs/remote-bilingual-home-patient-representatives-canada", "Himalayas")</f>
        <v>Himalayas</v>
      </c>
      <c r="H121" s="5">
        <v>46084.0</v>
      </c>
      <c r="I121" s="6"/>
    </row>
    <row r="122">
      <c r="A122" s="2" t="s">
        <v>214</v>
      </c>
      <c r="B122" s="2" t="s">
        <v>215</v>
      </c>
      <c r="C122" s="2" t="s">
        <v>100</v>
      </c>
      <c r="D122" s="2" t="s">
        <v>12</v>
      </c>
      <c r="E122" s="2" t="s">
        <v>47</v>
      </c>
      <c r="F122" s="3">
        <v>2.1</v>
      </c>
      <c r="G122" s="4" t="str">
        <f>HYPERLINK("https://tr.linkedin.com/jobs/view/backend-engineer-at-vertigo-games-4378815103", "LinkedIn")</f>
        <v>LinkedIn</v>
      </c>
      <c r="H122" s="5">
        <v>46083.0</v>
      </c>
      <c r="I122" s="6"/>
    </row>
    <row r="123">
      <c r="A123" s="2" t="s">
        <v>216</v>
      </c>
      <c r="B123" s="2" t="s">
        <v>132</v>
      </c>
      <c r="C123" s="2" t="s">
        <v>100</v>
      </c>
      <c r="D123" s="2" t="s">
        <v>12</v>
      </c>
      <c r="E123" s="2" t="s">
        <v>47</v>
      </c>
      <c r="F123" s="3">
        <v>2.1</v>
      </c>
      <c r="G123" s="4" t="str">
        <f>HYPERLINK("https://tr.linkedin.com/jobs/view/backend-developer-at-leartes-4374570790", "LinkedIn")</f>
        <v>LinkedIn</v>
      </c>
      <c r="H123" s="5">
        <v>46077.0</v>
      </c>
      <c r="I123" s="6"/>
    </row>
    <row r="124">
      <c r="A124" s="2" t="s">
        <v>217</v>
      </c>
      <c r="B124" s="2" t="s">
        <v>218</v>
      </c>
      <c r="C124" s="2" t="s">
        <v>63</v>
      </c>
      <c r="D124" s="2" t="s">
        <v>12</v>
      </c>
      <c r="E124" s="2" t="s">
        <v>47</v>
      </c>
      <c r="F124" s="3">
        <v>2.1</v>
      </c>
      <c r="G124" s="4" t="str">
        <f>HYPERLINK("https://tr.linkedin.com/jobs/view/developer-at-n11-4374573939", "LinkedIn")</f>
        <v>LinkedIn</v>
      </c>
      <c r="H124" s="5">
        <v>46077.0</v>
      </c>
      <c r="I124" s="6"/>
    </row>
    <row r="125">
      <c r="A125" s="2" t="s">
        <v>219</v>
      </c>
      <c r="B125" s="2" t="s">
        <v>220</v>
      </c>
      <c r="C125" s="2" t="s">
        <v>63</v>
      </c>
      <c r="D125" s="2" t="s">
        <v>12</v>
      </c>
      <c r="E125" s="2" t="s">
        <v>47</v>
      </c>
      <c r="F125" s="3">
        <v>2.1</v>
      </c>
      <c r="G125" s="4" t="str">
        <f>HYPERLINK("https://tr.linkedin.com/jobs/view/full-stack-node-js-react-js-ltc-at-altamira-4378037293", "LinkedIn")</f>
        <v>LinkedIn</v>
      </c>
      <c r="H125" s="5">
        <v>46078.0</v>
      </c>
      <c r="I125" s="6"/>
    </row>
    <row r="126">
      <c r="A126" s="2" t="s">
        <v>221</v>
      </c>
      <c r="B126" s="2"/>
      <c r="C126" s="2" t="s">
        <v>100</v>
      </c>
      <c r="D126" s="2" t="s">
        <v>12</v>
      </c>
      <c r="E126" s="2" t="s">
        <v>47</v>
      </c>
      <c r="F126" s="3">
        <v>2.1</v>
      </c>
      <c r="G126" s="4" t="str">
        <f>HYPERLINK("https://himalayas.app/companies/cresta/jobs/software-engineer-backend-ai-agent-7393479689", "Himalayas")</f>
        <v>Himalayas</v>
      </c>
      <c r="H126" s="5">
        <v>46084.0</v>
      </c>
      <c r="I126" s="6"/>
    </row>
    <row r="127">
      <c r="A127" s="2" t="s">
        <v>222</v>
      </c>
      <c r="B127" s="2" t="s">
        <v>223</v>
      </c>
      <c r="C127" s="2" t="s">
        <v>63</v>
      </c>
      <c r="D127" s="2" t="s">
        <v>12</v>
      </c>
      <c r="E127" s="2" t="s">
        <v>47</v>
      </c>
      <c r="F127" s="3">
        <v>2.1</v>
      </c>
      <c r="G127" s="4" t="str">
        <f>HYPERLINK("https://www.ziprecruiter.com/c/System-One/Job/Sr-C-Developer/-in-Washington,DC?jid=9fabb4ef392c981e&amp;utm_campaign=google_jobs_apply&amp;utm_source=google_jobs_apply&amp;utm_medium=organic", "Link")</f>
        <v>Link</v>
      </c>
      <c r="H127" s="5">
        <v>46076.0</v>
      </c>
      <c r="I127" s="6"/>
    </row>
    <row r="128">
      <c r="A128" s="2" t="s">
        <v>224</v>
      </c>
      <c r="B128" s="2"/>
      <c r="C128" s="2" t="s">
        <v>44</v>
      </c>
      <c r="D128" s="2" t="s">
        <v>12</v>
      </c>
      <c r="E128" s="2" t="s">
        <v>42</v>
      </c>
      <c r="F128" s="3">
        <v>2.1</v>
      </c>
      <c r="G128" s="4" t="str">
        <f>HYPERLINK("https://himalayas.app/companies/baker-hughes/jobs/department-administrator-ii", "Himalayas")</f>
        <v>Himalayas</v>
      </c>
      <c r="H128" s="5">
        <v>46084.0</v>
      </c>
      <c r="I128" s="6"/>
    </row>
    <row r="129">
      <c r="A129" s="2" t="s">
        <v>225</v>
      </c>
      <c r="B129" s="2" t="s">
        <v>226</v>
      </c>
      <c r="C129" s="2" t="s">
        <v>17</v>
      </c>
      <c r="D129" s="2" t="s">
        <v>12</v>
      </c>
      <c r="E129" s="2" t="s">
        <v>47</v>
      </c>
      <c r="F129" s="3">
        <v>1.8</v>
      </c>
      <c r="G129" s="4" t="str">
        <f>HYPERLINK("https://tr.linkedin.com/jobs/view/tools-programmer-at-io-interactive-4377375150", "LinkedIn")</f>
        <v>LinkedIn</v>
      </c>
      <c r="H129" s="5">
        <v>46080.0</v>
      </c>
      <c r="I129" s="6"/>
    </row>
    <row r="130">
      <c r="A130" s="2" t="s">
        <v>225</v>
      </c>
      <c r="B130" s="2" t="s">
        <v>226</v>
      </c>
      <c r="C130" s="2" t="s">
        <v>17</v>
      </c>
      <c r="D130" s="2" t="s">
        <v>12</v>
      </c>
      <c r="E130" s="2" t="s">
        <v>47</v>
      </c>
      <c r="F130" s="3">
        <v>1.8</v>
      </c>
      <c r="G130" s="4" t="str">
        <f>HYPERLINK("https://tr.linkedin.com/jobs/view/tools-programmer-at-io-interactive-4379929430", "LinkedIn")</f>
        <v>LinkedIn</v>
      </c>
      <c r="H130" s="5">
        <v>46083.0</v>
      </c>
      <c r="I130" s="6"/>
    </row>
    <row r="131">
      <c r="A131" s="2" t="s">
        <v>227</v>
      </c>
      <c r="B131" s="2" t="s">
        <v>228</v>
      </c>
      <c r="C131" s="2" t="s">
        <v>17</v>
      </c>
      <c r="D131" s="2" t="s">
        <v>12</v>
      </c>
      <c r="E131" s="2" t="s">
        <v>47</v>
      </c>
      <c r="F131" s="3">
        <v>1.8</v>
      </c>
      <c r="G131" s="4" t="str">
        <f>HYPERLINK("https://tr.linkedin.com/jobs/view/yaz%C4%B1l%C4%B1m-geli%C5%9Ftirme-m%C3%BChendisi-at-dzd-teknoloji-4374297017", "LinkedIn")</f>
        <v>LinkedIn</v>
      </c>
      <c r="H131" s="5">
        <v>46076.0</v>
      </c>
      <c r="I131" s="6"/>
    </row>
    <row r="132">
      <c r="A132" s="2" t="s">
        <v>167</v>
      </c>
      <c r="B132" s="2" t="s">
        <v>229</v>
      </c>
      <c r="C132" s="2" t="s">
        <v>17</v>
      </c>
      <c r="D132" s="2" t="s">
        <v>12</v>
      </c>
      <c r="E132" s="2" t="s">
        <v>47</v>
      </c>
      <c r="F132" s="3">
        <v>1.8</v>
      </c>
      <c r="G132" s="4" t="str">
        <f>HYPERLINK("https://tr.linkedin.com/jobs/view/yaz%C4%B1l%C4%B1m-uzman%C4%B1-at-burgan-bank-t%C3%BCrkiye-4379065150", "LinkedIn")</f>
        <v>LinkedIn</v>
      </c>
      <c r="H132" s="5">
        <v>46080.0</v>
      </c>
      <c r="I132" s="6"/>
    </row>
    <row r="133">
      <c r="A133" s="2" t="s">
        <v>230</v>
      </c>
      <c r="B133" s="2" t="s">
        <v>231</v>
      </c>
      <c r="C133" s="2" t="s">
        <v>44</v>
      </c>
      <c r="D133" s="2" t="s">
        <v>44</v>
      </c>
      <c r="E133" s="2" t="s">
        <v>13</v>
      </c>
      <c r="F133" s="3">
        <v>1.8</v>
      </c>
      <c r="G133" s="4" t="str">
        <f>HYPERLINK("https://himalayas.app/companies/adbaker-gmbh/jobs/werkstudent-tiktok-shop-live-all-genders", "Himalayas")</f>
        <v>Himalayas</v>
      </c>
      <c r="H133" s="5">
        <v>46084.0</v>
      </c>
      <c r="I133" s="6"/>
    </row>
    <row r="134">
      <c r="A134" s="2" t="s">
        <v>232</v>
      </c>
      <c r="B134" s="2" t="s">
        <v>233</v>
      </c>
      <c r="C134" s="2" t="s">
        <v>11</v>
      </c>
      <c r="D134" s="2" t="s">
        <v>44</v>
      </c>
      <c r="E134" s="2" t="s">
        <v>47</v>
      </c>
      <c r="F134" s="3">
        <v>1.5</v>
      </c>
      <c r="G134" s="4" t="str">
        <f>HYPERLINK("https://www.jobilize.com/job/us-va-alexandria-ai-programmer-unreal-engine-5-sperasoft-hiring-now?utm_campaign=google_jobs_apply&amp;utm_source=google_jobs_apply&amp;utm_medium=organic", "Link")</f>
        <v>Link</v>
      </c>
      <c r="H134" s="5">
        <v>46082.0</v>
      </c>
      <c r="I134" s="6"/>
    </row>
    <row r="135">
      <c r="A135" s="2" t="s">
        <v>234</v>
      </c>
      <c r="B135" s="2" t="s">
        <v>235</v>
      </c>
      <c r="C135" s="2" t="s">
        <v>44</v>
      </c>
      <c r="D135" s="2" t="s">
        <v>12</v>
      </c>
      <c r="E135" s="2" t="s">
        <v>47</v>
      </c>
      <c r="F135" s="3">
        <v>1.5</v>
      </c>
      <c r="G135" s="4" t="str">
        <f>HYPERLINK("https://himalayas.app/companies/snblt/jobs/regional-strategic-customer-representative-climate-control", "Himalayas")</f>
        <v>Himalayas</v>
      </c>
      <c r="H135" s="5">
        <v>46084.0</v>
      </c>
      <c r="I135" s="6"/>
    </row>
    <row r="136">
      <c r="A136" s="2" t="s">
        <v>236</v>
      </c>
      <c r="B136" s="2" t="s">
        <v>237</v>
      </c>
      <c r="C136" s="2" t="s">
        <v>44</v>
      </c>
      <c r="D136" s="2" t="s">
        <v>12</v>
      </c>
      <c r="E136" s="2" t="s">
        <v>47</v>
      </c>
      <c r="F136" s="3">
        <v>1.5</v>
      </c>
      <c r="G136" s="4" t="str">
        <f>HYPERLINK("https://himalayas.app/companies/advocate-aurora-health/jobs/physical-therapist-atrium-health-at-home-blue-ridge-ft", "Himalayas")</f>
        <v>Himalayas</v>
      </c>
      <c r="H136" s="5">
        <v>46084.0</v>
      </c>
      <c r="I136" s="6"/>
    </row>
    <row r="137">
      <c r="A137" s="2" t="s">
        <v>238</v>
      </c>
      <c r="B137" s="2"/>
      <c r="C137" s="2" t="s">
        <v>44</v>
      </c>
      <c r="D137" s="2" t="s">
        <v>12</v>
      </c>
      <c r="E137" s="2" t="s">
        <v>47</v>
      </c>
      <c r="F137" s="3">
        <v>1.5</v>
      </c>
      <c r="G137" s="4" t="str">
        <f>HYPERLINK("https://himalayas.app/companies/dxc-technology/jobs/life-annuities-customer-support-us", "Himalayas")</f>
        <v>Himalayas</v>
      </c>
      <c r="H137" s="5">
        <v>46084.0</v>
      </c>
      <c r="I137" s="6"/>
    </row>
    <row r="138">
      <c r="A138" s="2" t="s">
        <v>239</v>
      </c>
      <c r="B138" s="2"/>
      <c r="C138" s="2" t="s">
        <v>44</v>
      </c>
      <c r="D138" s="2" t="s">
        <v>12</v>
      </c>
      <c r="E138" s="2" t="s">
        <v>47</v>
      </c>
      <c r="F138" s="3">
        <v>1.5</v>
      </c>
      <c r="G138" s="4" t="str">
        <f>HYPERLINK("https://himalayas.app/companies/asrc-federal/jobs/zero-trust-project-lead", "Himalayas")</f>
        <v>Himalayas</v>
      </c>
      <c r="H138" s="5">
        <v>46084.0</v>
      </c>
      <c r="I138" s="6"/>
    </row>
    <row r="139">
      <c r="A139" s="2" t="s">
        <v>240</v>
      </c>
      <c r="B139" s="2" t="s">
        <v>241</v>
      </c>
      <c r="C139" s="2" t="s">
        <v>44</v>
      </c>
      <c r="D139" s="2" t="s">
        <v>12</v>
      </c>
      <c r="E139" s="2" t="s">
        <v>47</v>
      </c>
      <c r="F139" s="3">
        <v>1.5</v>
      </c>
      <c r="G139" s="4" t="str">
        <f>HYPERLINK("https://himalayas.app/companies/treehouse-foods/jobs/blender-2nd-shift", "Himalayas")</f>
        <v>Himalayas</v>
      </c>
      <c r="H139" s="5">
        <v>46084.0</v>
      </c>
      <c r="I139" s="6"/>
    </row>
    <row r="140">
      <c r="A140" s="2" t="s">
        <v>242</v>
      </c>
      <c r="B140" s="2"/>
      <c r="C140" s="2" t="s">
        <v>44</v>
      </c>
      <c r="D140" s="2" t="s">
        <v>12</v>
      </c>
      <c r="E140" s="2" t="s">
        <v>47</v>
      </c>
      <c r="F140" s="3">
        <v>1.5</v>
      </c>
      <c r="G140" s="4" t="str">
        <f>HYPERLINK("https://himalayas.app/companies/terminal-railroad-association-of-st-louis/jobs/conductor-switchman", "Himalayas")</f>
        <v>Himalayas</v>
      </c>
      <c r="H140" s="5">
        <v>46084.0</v>
      </c>
      <c r="I140" s="6"/>
    </row>
    <row r="141">
      <c r="A141" s="2" t="s">
        <v>243</v>
      </c>
      <c r="B141" s="2" t="s">
        <v>175</v>
      </c>
      <c r="C141" s="2" t="s">
        <v>44</v>
      </c>
      <c r="D141" s="2" t="s">
        <v>12</v>
      </c>
      <c r="E141" s="2" t="s">
        <v>47</v>
      </c>
      <c r="F141" s="3">
        <v>1.5</v>
      </c>
      <c r="G141" s="4" t="str">
        <f>HYPERLINK("https://tr.linkedin.com/jobs/view/growth-manager-at-rollic-4374569087", "LinkedIn")</f>
        <v>LinkedIn</v>
      </c>
      <c r="H141" s="5">
        <v>46077.0</v>
      </c>
      <c r="I141" s="6"/>
    </row>
    <row r="142">
      <c r="A142" s="2" t="s">
        <v>244</v>
      </c>
      <c r="B142" s="2" t="s">
        <v>175</v>
      </c>
      <c r="C142" s="2" t="s">
        <v>44</v>
      </c>
      <c r="D142" s="2" t="s">
        <v>12</v>
      </c>
      <c r="E142" s="2" t="s">
        <v>47</v>
      </c>
      <c r="F142" s="3">
        <v>1.5</v>
      </c>
      <c r="G142" s="4" t="str">
        <f>HYPERLINK("https://tr.linkedin.com/jobs/view/product-manager-new-games-at-rollic-4374560375", "LinkedIn")</f>
        <v>LinkedIn</v>
      </c>
      <c r="H142" s="5">
        <v>46077.0</v>
      </c>
      <c r="I142" s="6"/>
    </row>
    <row r="143">
      <c r="A143" s="2" t="s">
        <v>245</v>
      </c>
      <c r="B143" s="2" t="s">
        <v>175</v>
      </c>
      <c r="C143" s="2" t="s">
        <v>44</v>
      </c>
      <c r="D143" s="2" t="s">
        <v>12</v>
      </c>
      <c r="E143" s="2" t="s">
        <v>47</v>
      </c>
      <c r="F143" s="3">
        <v>1.5</v>
      </c>
      <c r="G143" s="4" t="str">
        <f>HYPERLINK("https://tr.linkedin.com/jobs/view/product-manager-puzzle-games-at-rollic-4351195565", "LinkedIn")</f>
        <v>LinkedIn</v>
      </c>
      <c r="H143" s="5">
        <v>46056.0</v>
      </c>
      <c r="I143" s="6"/>
    </row>
    <row r="144">
      <c r="A144" s="2" t="s">
        <v>246</v>
      </c>
      <c r="B144" s="2" t="s">
        <v>247</v>
      </c>
      <c r="C144" s="2" t="s">
        <v>44</v>
      </c>
      <c r="D144" s="2" t="s">
        <v>12</v>
      </c>
      <c r="E144" s="2" t="s">
        <v>47</v>
      </c>
      <c r="F144" s="3">
        <v>1.5</v>
      </c>
      <c r="G144" s="4" t="str">
        <f>HYPERLINK("https://tr.linkedin.com/jobs/view/future-squad-k%C4%B1sa-d%C3%B6nem-staj-program%C4%B1-2026-at-yap%C4%B1-kredi-teknoloji-4373118143", "LinkedIn")</f>
        <v>LinkedIn</v>
      </c>
      <c r="H144" s="5">
        <v>46073.0</v>
      </c>
      <c r="I144" s="6"/>
    </row>
    <row r="145">
      <c r="A145" s="2" t="s">
        <v>248</v>
      </c>
      <c r="B145" s="2" t="s">
        <v>249</v>
      </c>
      <c r="C145" s="2" t="s">
        <v>44</v>
      </c>
      <c r="D145" s="2" t="s">
        <v>12</v>
      </c>
      <c r="E145" s="2" t="s">
        <v>47</v>
      </c>
      <c r="F145" s="3">
        <v>1.5</v>
      </c>
      <c r="G145" s="4" t="str">
        <f>HYPERLINK("https://tr.linkedin.com/jobs/view/yaz%C4%B1l%C4%B1m-geli%C5%9Ftirme-uzman%C4%B1-at-p%C4%B1naronline-4377734067", "LinkedIn")</f>
        <v>LinkedIn</v>
      </c>
      <c r="H145" s="5">
        <v>46083.0</v>
      </c>
      <c r="I145" s="6"/>
    </row>
    <row r="146">
      <c r="A146" s="2" t="s">
        <v>146</v>
      </c>
      <c r="B146" s="2" t="s">
        <v>250</v>
      </c>
      <c r="C146" s="2" t="s">
        <v>11</v>
      </c>
      <c r="D146" s="2" t="s">
        <v>44</v>
      </c>
      <c r="E146" s="2" t="s">
        <v>47</v>
      </c>
      <c r="F146" s="3">
        <v>1.5</v>
      </c>
      <c r="G146" s="4" t="str">
        <f>HYPERLINK("https://www.akular.com/jobs/unity-developer/?utm_campaign=google_jobs_apply&amp;utm_source=google_jobs_apply&amp;utm_medium=organic", "Link")</f>
        <v>Link</v>
      </c>
      <c r="H146" s="5">
        <v>46064.0</v>
      </c>
      <c r="I146" s="6"/>
    </row>
    <row r="147">
      <c r="A147" s="2" t="s">
        <v>251</v>
      </c>
      <c r="B147" s="2" t="s">
        <v>252</v>
      </c>
      <c r="C147" s="2" t="s">
        <v>11</v>
      </c>
      <c r="D147" s="2" t="s">
        <v>44</v>
      </c>
      <c r="E147" s="2" t="s">
        <v>47</v>
      </c>
      <c r="F147" s="3">
        <v>1.5</v>
      </c>
      <c r="G147" s="4" t="str">
        <f>HYPERLINK("https://www.learn4good.com/jobs/herndon/virginia/software_development/4822392298/e/?utm_campaign=google_jobs_apply&amp;utm_source=google_jobs_apply&amp;utm_medium=organic", "Link")</f>
        <v>Link</v>
      </c>
      <c r="H147" s="5">
        <v>46059.0</v>
      </c>
      <c r="I147" s="6"/>
    </row>
    <row r="148">
      <c r="A148" s="2" t="s">
        <v>253</v>
      </c>
      <c r="B148" s="2" t="s">
        <v>254</v>
      </c>
      <c r="C148" s="2" t="s">
        <v>11</v>
      </c>
      <c r="D148" s="2" t="s">
        <v>44</v>
      </c>
      <c r="E148" s="2" t="s">
        <v>47</v>
      </c>
      <c r="F148" s="3">
        <v>1.5</v>
      </c>
      <c r="G148" s="4" t="str">
        <f>HYPERLINK("https://us.jobrapido.com/jobpreview/5776577727884689408?utm_campaign=google_jobs_apply&amp;utm_source=google_jobs_apply&amp;utm_medium=organic", "Link")</f>
        <v>Link</v>
      </c>
      <c r="H148" s="5">
        <v>46074.0</v>
      </c>
      <c r="I148" s="6"/>
    </row>
    <row r="149">
      <c r="A149" s="2" t="s">
        <v>255</v>
      </c>
      <c r="B149" s="2"/>
      <c r="C149" s="2" t="s">
        <v>44</v>
      </c>
      <c r="D149" s="2" t="s">
        <v>12</v>
      </c>
      <c r="E149" s="2" t="s">
        <v>47</v>
      </c>
      <c r="F149" s="3">
        <v>1.5</v>
      </c>
      <c r="G149" s="4" t="str">
        <f>HYPERLINK("https://himalayas.app/companies/armstrong-receivable-management/jobs/phone-auditor-6977270735", "Himalayas")</f>
        <v>Himalayas</v>
      </c>
      <c r="H149" s="5">
        <v>46084.0</v>
      </c>
      <c r="I149" s="6"/>
    </row>
    <row r="150">
      <c r="A150" s="2" t="s">
        <v>256</v>
      </c>
      <c r="B150" s="2"/>
      <c r="C150" s="2" t="s">
        <v>44</v>
      </c>
      <c r="D150" s="2" t="s">
        <v>12</v>
      </c>
      <c r="E150" s="2" t="s">
        <v>47</v>
      </c>
      <c r="F150" s="3">
        <v>1.5</v>
      </c>
      <c r="G150" s="4" t="str">
        <f>HYPERLINK("https://himalayas.app/companies/corewell-health/jobs/physician-geriatrics-home-based-primary-care-grand-rapids-mi", "Himalayas")</f>
        <v>Himalayas</v>
      </c>
      <c r="H150" s="5">
        <v>46084.0</v>
      </c>
      <c r="I150" s="6"/>
    </row>
    <row r="151">
      <c r="A151" s="2" t="s">
        <v>257</v>
      </c>
      <c r="B151" s="6"/>
      <c r="C151" s="2" t="s">
        <v>44</v>
      </c>
      <c r="D151" s="2" t="s">
        <v>12</v>
      </c>
      <c r="E151" s="2" t="s">
        <v>47</v>
      </c>
      <c r="F151" s="3">
        <v>1.5</v>
      </c>
      <c r="G151" s="4" t="str">
        <f>HYPERLINK("https://himalayas.app/companies/fusion-consulting/jobs/it-infrastructure-project-manager-pki-automation-certificate-management-1245658938", "Himalayas")</f>
        <v>Himalayas</v>
      </c>
      <c r="H151" s="5">
        <v>46084.0</v>
      </c>
      <c r="I151" s="6"/>
    </row>
    <row r="152">
      <c r="A152" s="2" t="s">
        <v>258</v>
      </c>
      <c r="B152" s="2" t="s">
        <v>259</v>
      </c>
      <c r="C152" s="2" t="s">
        <v>100</v>
      </c>
      <c r="D152" s="2" t="s">
        <v>44</v>
      </c>
      <c r="E152" s="2" t="s">
        <v>42</v>
      </c>
      <c r="F152" s="3">
        <v>1.5</v>
      </c>
      <c r="G152" s="4" t="str">
        <f>HYPERLINK("https://himalayas.app/companies/solarys-software/jobs/backend-php-developer-symfony-intermediate-level-m-f-d", "Himalayas")</f>
        <v>Himalayas</v>
      </c>
      <c r="H152" s="5">
        <v>46084.0</v>
      </c>
      <c r="I152" s="6"/>
    </row>
    <row r="153">
      <c r="A153" s="2" t="s">
        <v>260</v>
      </c>
      <c r="B153" s="2"/>
      <c r="C153" s="2" t="s">
        <v>83</v>
      </c>
      <c r="D153" s="2" t="s">
        <v>44</v>
      </c>
      <c r="E153" s="2" t="s">
        <v>47</v>
      </c>
      <c r="F153" s="3">
        <v>1.2</v>
      </c>
      <c r="G153" s="4" t="str">
        <f>HYPERLINK("https://himalayas.app/companies/bcd-travel/jobs/ind_75806753_supervisor-finance", "Himalayas")</f>
        <v>Himalayas</v>
      </c>
      <c r="H153" s="5">
        <v>46084.0</v>
      </c>
      <c r="I153" s="6"/>
    </row>
    <row r="154">
      <c r="A154" s="2" t="s">
        <v>261</v>
      </c>
      <c r="B154" s="6"/>
      <c r="C154" s="2" t="s">
        <v>83</v>
      </c>
      <c r="D154" s="2" t="s">
        <v>44</v>
      </c>
      <c r="E154" s="2" t="s">
        <v>47</v>
      </c>
      <c r="F154" s="3">
        <v>1.2</v>
      </c>
      <c r="G154" s="4" t="str">
        <f>HYPERLINK("https://himalayas.app/companies/akumin/jobs/development-engineer", "Himalayas")</f>
        <v>Himalayas</v>
      </c>
      <c r="H154" s="5">
        <v>46084.0</v>
      </c>
      <c r="I154" s="6"/>
    </row>
    <row r="155">
      <c r="A155" s="2" t="s">
        <v>262</v>
      </c>
      <c r="B155" s="6"/>
      <c r="C155" s="2" t="s">
        <v>37</v>
      </c>
      <c r="D155" s="2" t="s">
        <v>44</v>
      </c>
      <c r="E155" s="2" t="s">
        <v>47</v>
      </c>
      <c r="F155" s="3">
        <v>1.2</v>
      </c>
      <c r="G155" s="4" t="str">
        <f>HYPERLINK("https://himalayas.app/companies/almedia/jobs/data-scientist", "Himalayas")</f>
        <v>Himalayas</v>
      </c>
      <c r="H155" s="5">
        <v>46084.0</v>
      </c>
      <c r="I155" s="6"/>
    </row>
    <row r="156">
      <c r="A156" s="2" t="s">
        <v>263</v>
      </c>
      <c r="B156" s="2" t="s">
        <v>264</v>
      </c>
      <c r="C156" s="2" t="s">
        <v>22</v>
      </c>
      <c r="D156" s="2" t="s">
        <v>44</v>
      </c>
      <c r="E156" s="2" t="s">
        <v>47</v>
      </c>
      <c r="F156" s="3">
        <v>1.2</v>
      </c>
      <c r="G156" s="4" t="str">
        <f>HYPERLINK("https://himalayas.app/companies/olsson-com/jobs/licensed-civil-engineer-site-design-577610271", "Himalayas")</f>
        <v>Himalayas</v>
      </c>
      <c r="H156" s="5">
        <v>46084.0</v>
      </c>
      <c r="I156" s="6"/>
    </row>
    <row r="157">
      <c r="A157" s="2" t="s">
        <v>265</v>
      </c>
      <c r="B157" s="6"/>
      <c r="C157" s="2" t="s">
        <v>63</v>
      </c>
      <c r="D157" s="2" t="s">
        <v>44</v>
      </c>
      <c r="E157" s="2" t="s">
        <v>47</v>
      </c>
      <c r="F157" s="3">
        <v>0.9</v>
      </c>
      <c r="G157" s="4" t="str">
        <f>HYPERLINK("https://himalayas.app/companies/segra/jobs/servicenow-developer", "Himalayas")</f>
        <v>Himalayas</v>
      </c>
      <c r="H157" s="5">
        <v>46084.0</v>
      </c>
      <c r="I157" s="6"/>
    </row>
    <row r="158">
      <c r="A158" s="2" t="s">
        <v>266</v>
      </c>
      <c r="B158" s="2"/>
      <c r="C158" s="2" t="s">
        <v>100</v>
      </c>
      <c r="D158" s="2" t="s">
        <v>44</v>
      </c>
      <c r="E158" s="2" t="s">
        <v>47</v>
      </c>
      <c r="F158" s="3">
        <v>0.9</v>
      </c>
      <c r="G158" s="4" t="str">
        <f>HYPERLINK("https://himalayas.app/companies/enthalpy-analytical/jobs/business-development-manager", "Himalayas")</f>
        <v>Himalayas</v>
      </c>
      <c r="H158" s="5">
        <v>46084.0</v>
      </c>
      <c r="I158" s="6"/>
    </row>
    <row r="159">
      <c r="A159" s="2" t="s">
        <v>267</v>
      </c>
      <c r="B159" s="2" t="s">
        <v>268</v>
      </c>
      <c r="C159" s="2" t="s">
        <v>100</v>
      </c>
      <c r="D159" s="2" t="s">
        <v>44</v>
      </c>
      <c r="E159" s="2" t="s">
        <v>47</v>
      </c>
      <c r="F159" s="3">
        <v>0.9</v>
      </c>
      <c r="G159" s="4" t="str">
        <f>HYPERLINK("https://himalayas.app/companies/qualfon/jobs/vice-president-of-business-development-3pl-product-fulfillment-ecommerce", "Himalayas")</f>
        <v>Himalayas</v>
      </c>
      <c r="H159" s="5">
        <v>46084.0</v>
      </c>
      <c r="I159" s="6"/>
    </row>
    <row r="160">
      <c r="A160" s="2" t="s">
        <v>269</v>
      </c>
      <c r="B160" s="2"/>
      <c r="C160" s="2" t="s">
        <v>63</v>
      </c>
      <c r="D160" s="2" t="s">
        <v>44</v>
      </c>
      <c r="E160" s="2" t="s">
        <v>47</v>
      </c>
      <c r="F160" s="3">
        <v>0.9</v>
      </c>
      <c r="G160" s="4" t="str">
        <f>HYPERLINK("https://himalayas.app/companies/kmc-solutions-inc/jobs/xtn-31c9813-react-next-js-developer", "Himalayas")</f>
        <v>Himalayas</v>
      </c>
      <c r="H160" s="5">
        <v>46084.0</v>
      </c>
      <c r="I160" s="6"/>
    </row>
    <row r="161">
      <c r="A161" s="2" t="s">
        <v>270</v>
      </c>
      <c r="B161" s="2"/>
      <c r="C161" s="2" t="s">
        <v>100</v>
      </c>
      <c r="D161" s="2" t="s">
        <v>44</v>
      </c>
      <c r="E161" s="2" t="s">
        <v>47</v>
      </c>
      <c r="F161" s="3">
        <v>0.9</v>
      </c>
      <c r="G161" s="4" t="str">
        <f>HYPERLINK("https://himalayas.app/companies/fresenius-group/jobs/ehr-project-consultant", "Himalayas")</f>
        <v>Himalayas</v>
      </c>
      <c r="H161" s="5">
        <v>46084.0</v>
      </c>
      <c r="I161" s="6"/>
    </row>
    <row r="162">
      <c r="A162" s="2" t="s">
        <v>271</v>
      </c>
      <c r="B162" s="6"/>
      <c r="C162" s="2" t="s">
        <v>88</v>
      </c>
      <c r="D162" s="2" t="s">
        <v>44</v>
      </c>
      <c r="E162" s="2" t="s">
        <v>47</v>
      </c>
      <c r="F162" s="3">
        <v>0.9</v>
      </c>
      <c r="G162" s="4" t="str">
        <f>HYPERLINK("https://himalayas.app/companies/dyflex-solutions/jobs/sap-btp-cap-developer", "Himalayas")</f>
        <v>Himalayas</v>
      </c>
      <c r="H162" s="5">
        <v>46084.0</v>
      </c>
      <c r="I162" s="6"/>
    </row>
    <row r="163">
      <c r="A163" s="2" t="s">
        <v>272</v>
      </c>
      <c r="B163" s="2"/>
      <c r="C163" s="2" t="s">
        <v>44</v>
      </c>
      <c r="D163" s="2" t="s">
        <v>44</v>
      </c>
      <c r="E163" s="2" t="s">
        <v>42</v>
      </c>
      <c r="F163" s="3">
        <v>0.9</v>
      </c>
      <c r="G163" s="4" t="str">
        <f>HYPERLINK("https://himalayas.app/companies/teamlogic-it/jobs/msp-level-3-technician", "Himalayas")</f>
        <v>Himalayas</v>
      </c>
      <c r="H163" s="5">
        <v>46084.0</v>
      </c>
      <c r="I163" s="6"/>
    </row>
    <row r="164">
      <c r="A164" s="2" t="s">
        <v>273</v>
      </c>
      <c r="B164" s="6"/>
      <c r="C164" s="2" t="s">
        <v>44</v>
      </c>
      <c r="D164" s="2" t="s">
        <v>44</v>
      </c>
      <c r="E164" s="2" t="s">
        <v>42</v>
      </c>
      <c r="F164" s="3">
        <v>0.9</v>
      </c>
      <c r="G164" s="4" t="str">
        <f>HYPERLINK("https://himalayas.app/companies/lifelancer/jobs/informatics-analyst-ii", "Himalayas")</f>
        <v>Himalayas</v>
      </c>
      <c r="H164" s="5">
        <v>46084.0</v>
      </c>
      <c r="I164" s="6"/>
    </row>
    <row r="165">
      <c r="A165" s="2" t="s">
        <v>274</v>
      </c>
      <c r="B165" s="2" t="s">
        <v>275</v>
      </c>
      <c r="C165" s="2" t="s">
        <v>44</v>
      </c>
      <c r="D165" s="2" t="s">
        <v>276</v>
      </c>
      <c r="E165" s="2" t="s">
        <v>47</v>
      </c>
      <c r="F165" s="3">
        <v>0.7</v>
      </c>
      <c r="G165" s="4" t="str">
        <f>HYPERLINK("https://himalayas.app/companies/taxfix-de/jobs/steuerberater-in-d-f-m", "Himalayas")</f>
        <v>Himalayas</v>
      </c>
      <c r="H165" s="5">
        <v>46084.0</v>
      </c>
      <c r="I165" s="6"/>
    </row>
    <row r="166">
      <c r="A166" s="2" t="s">
        <v>277</v>
      </c>
      <c r="B166" s="2"/>
      <c r="C166" s="2" t="s">
        <v>17</v>
      </c>
      <c r="D166" s="2" t="s">
        <v>44</v>
      </c>
      <c r="E166" s="2" t="s">
        <v>47</v>
      </c>
      <c r="F166" s="3">
        <v>0.6</v>
      </c>
      <c r="G166" s="4" t="str">
        <f>HYPERLINK("https://himalayas.app/companies/witherslack-group/jobs/school-quality-assurance-standards-lead", "Himalayas")</f>
        <v>Himalayas</v>
      </c>
      <c r="H166" s="5">
        <v>46084.0</v>
      </c>
      <c r="I166" s="6"/>
    </row>
    <row r="167">
      <c r="A167" s="2" t="s">
        <v>278</v>
      </c>
      <c r="B167" s="2" t="s">
        <v>49</v>
      </c>
      <c r="C167" s="2" t="s">
        <v>11</v>
      </c>
      <c r="D167" s="2" t="s">
        <v>18</v>
      </c>
      <c r="E167" s="2" t="s">
        <v>279</v>
      </c>
      <c r="F167" s="3">
        <v>0.5</v>
      </c>
      <c r="G167" s="4" t="str">
        <f>HYPERLINK("https://tr.linkedin.com/jobs/view/senior-game-developer-at-panteon-4374054532", "LinkedIn")</f>
        <v>LinkedIn</v>
      </c>
      <c r="H167" s="5">
        <v>46072.0</v>
      </c>
      <c r="I167" s="6"/>
    </row>
    <row r="168">
      <c r="A168" s="2" t="s">
        <v>280</v>
      </c>
      <c r="B168" s="8" t="s">
        <v>281</v>
      </c>
      <c r="C168" s="2" t="s">
        <v>11</v>
      </c>
      <c r="D168" s="2" t="s">
        <v>41</v>
      </c>
      <c r="E168" s="2" t="s">
        <v>279</v>
      </c>
      <c r="F168" s="3">
        <v>0.5</v>
      </c>
      <c r="G168" s="4" t="str">
        <f>HYPERLINK("https://talents.vaia.com/companies/jobright-ai/senior-gameplay-systems-programmer-unreal-engine-29494333/?utm_campaign=google_jobs_apply&amp;utm_source=google_jobs_apply&amp;utm_medium=organic", "Link")</f>
        <v>Link</v>
      </c>
      <c r="H168" s="5">
        <v>46069.0</v>
      </c>
      <c r="I168" s="6"/>
    </row>
    <row r="169">
      <c r="A169" s="2" t="s">
        <v>282</v>
      </c>
      <c r="B169" s="2" t="s">
        <v>283</v>
      </c>
      <c r="C169" s="2" t="s">
        <v>11</v>
      </c>
      <c r="D169" s="2" t="s">
        <v>41</v>
      </c>
      <c r="E169" s="2" t="s">
        <v>279</v>
      </c>
      <c r="F169" s="3">
        <v>0.5</v>
      </c>
      <c r="G169" s="4" t="str">
        <f>HYPERLINK("https://lensa.com/job-v1/agbo-films-llc/raleigh-nc/senior-gameplay-programmer/6ab7c7c262c17716e47f660a9d16e348?utm_campaign=google_jobs_apply&amp;utm_source=google_jobs_apply&amp;utm_medium=organic", "Link")</f>
        <v>Link</v>
      </c>
      <c r="H169" s="5">
        <v>46080.0</v>
      </c>
      <c r="I169" s="6"/>
    </row>
    <row r="170">
      <c r="A170" s="2" t="s">
        <v>282</v>
      </c>
      <c r="B170" s="2" t="s">
        <v>284</v>
      </c>
      <c r="C170" s="2" t="s">
        <v>11</v>
      </c>
      <c r="D170" s="2" t="s">
        <v>41</v>
      </c>
      <c r="E170" s="2" t="s">
        <v>279</v>
      </c>
      <c r="F170" s="3">
        <v>0.5</v>
      </c>
      <c r="G170" s="4" t="str">
        <f>HYPERLINK("https://agbo.breezy.hr/p/d49a73c994f7-senior-gameplay-programmer?utm_campaign=google_jobs_apply&amp;utm_source=google_jobs_apply&amp;utm_medium=organic", "Link")</f>
        <v>Link</v>
      </c>
      <c r="H170" s="5">
        <v>46069.0</v>
      </c>
      <c r="I170" s="6"/>
    </row>
    <row r="171">
      <c r="A171" s="2" t="s">
        <v>285</v>
      </c>
      <c r="B171" s="2"/>
      <c r="C171" s="2" t="s">
        <v>44</v>
      </c>
      <c r="D171" s="2" t="s">
        <v>44</v>
      </c>
      <c r="E171" s="2" t="s">
        <v>47</v>
      </c>
      <c r="F171" s="3">
        <v>0.3</v>
      </c>
      <c r="G171" s="4" t="str">
        <f>HYPERLINK("https://himalayas.app/companies/benchmark-human-services/jobs/behavior-technician-esn", "Himalayas")</f>
        <v>Himalayas</v>
      </c>
      <c r="H171" s="5">
        <v>46084.0</v>
      </c>
      <c r="I171" s="6"/>
    </row>
    <row r="172">
      <c r="A172" s="2" t="s">
        <v>286</v>
      </c>
      <c r="B172" s="2"/>
      <c r="C172" s="2" t="s">
        <v>44</v>
      </c>
      <c r="D172" s="2" t="s">
        <v>44</v>
      </c>
      <c r="E172" s="2" t="s">
        <v>47</v>
      </c>
      <c r="F172" s="3">
        <v>0.3</v>
      </c>
      <c r="G172" s="4" t="str">
        <f>HYPERLINK("https://himalayas.app/companies/iqvia/jobs/field-nurse-educator-kansas-city-w-ks", "Himalayas")</f>
        <v>Himalayas</v>
      </c>
      <c r="H172" s="5">
        <v>46084.0</v>
      </c>
      <c r="I172" s="6"/>
    </row>
    <row r="173">
      <c r="A173" s="2" t="s">
        <v>287</v>
      </c>
      <c r="B173" s="2" t="s">
        <v>288</v>
      </c>
      <c r="C173" s="2" t="s">
        <v>44</v>
      </c>
      <c r="D173" s="2" t="s">
        <v>44</v>
      </c>
      <c r="E173" s="2" t="s">
        <v>47</v>
      </c>
      <c r="F173" s="3">
        <v>0.3</v>
      </c>
      <c r="G173" s="4" t="str">
        <f>HYPERLINK("https://himalayas.app/companies/kaiser-permanente/jobs/nurse-manager-i-care-at-home-hospice-experience-required", "Himalayas")</f>
        <v>Himalayas</v>
      </c>
      <c r="H173" s="5">
        <v>46084.0</v>
      </c>
      <c r="I173" s="6"/>
    </row>
    <row r="174">
      <c r="A174" s="2" t="s">
        <v>289</v>
      </c>
      <c r="B174" s="2"/>
      <c r="C174" s="2" t="s">
        <v>44</v>
      </c>
      <c r="D174" s="2" t="s">
        <v>44</v>
      </c>
      <c r="E174" s="2" t="s">
        <v>47</v>
      </c>
      <c r="F174" s="3">
        <v>0.3</v>
      </c>
      <c r="G174" s="4" t="str">
        <f>HYPERLINK("https://himalayas.app/companies/aspiranet/jobs/clinician", "Himalayas")</f>
        <v>Himalayas</v>
      </c>
      <c r="H174" s="5">
        <v>46084.0</v>
      </c>
      <c r="I174" s="6"/>
    </row>
    <row r="175">
      <c r="A175" s="2" t="s">
        <v>290</v>
      </c>
      <c r="B175" s="6"/>
      <c r="C175" s="2" t="s">
        <v>44</v>
      </c>
      <c r="D175" s="2" t="s">
        <v>44</v>
      </c>
      <c r="E175" s="2" t="s">
        <v>47</v>
      </c>
      <c r="F175" s="3">
        <v>0.3</v>
      </c>
      <c r="G175" s="4" t="str">
        <f>HYPERLINK("https://himalayas.app/companies/rippling/jobs/account-executive-peo-smb", "Himalayas")</f>
        <v>Himalayas</v>
      </c>
      <c r="H175" s="5">
        <v>46084.0</v>
      </c>
      <c r="I175" s="6"/>
    </row>
    <row r="176">
      <c r="A176" s="2" t="s">
        <v>291</v>
      </c>
      <c r="B176" s="6"/>
      <c r="C176" s="2" t="s">
        <v>44</v>
      </c>
      <c r="D176" s="2" t="s">
        <v>44</v>
      </c>
      <c r="E176" s="2" t="s">
        <v>47</v>
      </c>
      <c r="F176" s="3">
        <v>0.3</v>
      </c>
      <c r="G176" s="4" t="str">
        <f>HYPERLINK("https://himalayas.app/companies/arb-interactive/jobs/user-acquisition-manager", "Himalayas")</f>
        <v>Himalayas</v>
      </c>
      <c r="H176" s="5">
        <v>46084.0</v>
      </c>
      <c r="I176" s="6"/>
    </row>
    <row r="177">
      <c r="A177" s="2" t="s">
        <v>292</v>
      </c>
      <c r="B177" s="6"/>
      <c r="C177" s="2" t="s">
        <v>44</v>
      </c>
      <c r="D177" s="2" t="s">
        <v>44</v>
      </c>
      <c r="E177" s="2" t="s">
        <v>47</v>
      </c>
      <c r="F177" s="3">
        <v>0.3</v>
      </c>
      <c r="G177" s="4" t="str">
        <f>HYPERLINK("https://himalayas.app/companies/state-of-michigan/jobs/saginaw-county-assistance-payments-worker-8-11", "Himalayas")</f>
        <v>Himalayas</v>
      </c>
      <c r="H177" s="5">
        <v>46084.0</v>
      </c>
      <c r="I177" s="6"/>
    </row>
    <row r="178">
      <c r="A178" s="2" t="s">
        <v>293</v>
      </c>
      <c r="B178" s="6"/>
      <c r="C178" s="2" t="s">
        <v>44</v>
      </c>
      <c r="D178" s="2" t="s">
        <v>44</v>
      </c>
      <c r="E178" s="2" t="s">
        <v>47</v>
      </c>
      <c r="F178" s="3">
        <v>0.3</v>
      </c>
      <c r="G178" s="4" t="str">
        <f>HYPERLINK("https://himalayas.app/companies/herewith/jobs/hiring-task-based-helpers-for-seniors-in-san-mateo-ca", "Himalayas")</f>
        <v>Himalayas</v>
      </c>
      <c r="H178" s="5">
        <v>46084.0</v>
      </c>
      <c r="I178" s="6"/>
    </row>
    <row r="179">
      <c r="A179" s="2" t="s">
        <v>294</v>
      </c>
      <c r="B179" s="6"/>
      <c r="C179" s="2" t="s">
        <v>44</v>
      </c>
      <c r="D179" s="2" t="s">
        <v>44</v>
      </c>
      <c r="E179" s="2" t="s">
        <v>47</v>
      </c>
      <c r="F179" s="3">
        <v>0.3</v>
      </c>
      <c r="G179" s="4" t="str">
        <f>HYPERLINK("https://himalayas.app/companies/compass-group/jobs/dietitian", "Himalayas")</f>
        <v>Himalayas</v>
      </c>
      <c r="H179" s="5">
        <v>46084.0</v>
      </c>
      <c r="I179" s="6"/>
    </row>
    <row r="180">
      <c r="A180" s="2" t="s">
        <v>295</v>
      </c>
      <c r="B180" s="6"/>
      <c r="C180" s="2" t="s">
        <v>44</v>
      </c>
      <c r="D180" s="2" t="s">
        <v>44</v>
      </c>
      <c r="E180" s="2" t="s">
        <v>47</v>
      </c>
      <c r="F180" s="3">
        <v>0.3</v>
      </c>
      <c r="G180" s="4" t="str">
        <f>HYPERLINK("https://himalayas.app/companies/voya-financial/jobs/disability-leave-claims-manager", "Himalayas")</f>
        <v>Himalayas</v>
      </c>
      <c r="H180" s="5">
        <v>46084.0</v>
      </c>
      <c r="I180" s="6"/>
    </row>
    <row r="181">
      <c r="A181" s="2" t="s">
        <v>296</v>
      </c>
      <c r="B181" s="2"/>
      <c r="C181" s="2" t="s">
        <v>44</v>
      </c>
      <c r="D181" s="2" t="s">
        <v>44</v>
      </c>
      <c r="E181" s="2" t="s">
        <v>47</v>
      </c>
      <c r="F181" s="3">
        <v>0.3</v>
      </c>
      <c r="G181" s="4" t="str">
        <f>HYPERLINK("https://himalayas.app/companies/butterfly-effects/jobs/registered-behavior-technician-rbt", "Himalayas")</f>
        <v>Himalayas</v>
      </c>
      <c r="H181" s="5">
        <v>46084.0</v>
      </c>
      <c r="I181" s="6"/>
    </row>
    <row r="182">
      <c r="A182" s="2" t="s">
        <v>297</v>
      </c>
      <c r="B182" s="2"/>
      <c r="C182" s="2" t="s">
        <v>44</v>
      </c>
      <c r="D182" s="2" t="s">
        <v>44</v>
      </c>
      <c r="E182" s="2" t="s">
        <v>47</v>
      </c>
      <c r="F182" s="3">
        <v>0.3</v>
      </c>
      <c r="G182" s="4" t="str">
        <f>HYPERLINK("https://himalayas.app/companies/allied-services-integrated-health-system/jobs/rn-hospice-call-in-home-based-19", "Himalayas")</f>
        <v>Himalayas</v>
      </c>
      <c r="H182" s="5">
        <v>46084.0</v>
      </c>
      <c r="I182" s="6"/>
    </row>
    <row r="183">
      <c r="A183" s="2" t="s">
        <v>298</v>
      </c>
      <c r="B183" s="2"/>
      <c r="C183" s="2" t="s">
        <v>44</v>
      </c>
      <c r="D183" s="2" t="s">
        <v>44</v>
      </c>
      <c r="E183" s="2" t="s">
        <v>47</v>
      </c>
      <c r="F183" s="3">
        <v>0.3</v>
      </c>
      <c r="G183" s="4" t="str">
        <f>HYPERLINK("https://himalayas.app/companies/kraken/jobs/compliance-officer-mlro-singapore", "Himalayas")</f>
        <v>Himalayas</v>
      </c>
      <c r="H183" s="5">
        <v>46084.0</v>
      </c>
      <c r="I183" s="6"/>
    </row>
    <row r="184">
      <c r="A184" s="2" t="s">
        <v>299</v>
      </c>
      <c r="B184" s="6"/>
      <c r="C184" s="2" t="s">
        <v>44</v>
      </c>
      <c r="D184" s="2" t="s">
        <v>44</v>
      </c>
      <c r="E184" s="2" t="s">
        <v>47</v>
      </c>
      <c r="F184" s="3">
        <v>0.3</v>
      </c>
      <c r="G184" s="4" t="str">
        <f>HYPERLINK("https://himalayas.app/companies/hanger-inc/jobs/prosthetist-and-or-orthotist-clinician-20-000-sign-on-much-more", "Himalayas")</f>
        <v>Himalayas</v>
      </c>
      <c r="H184" s="5">
        <v>46084.0</v>
      </c>
      <c r="I184" s="6"/>
    </row>
    <row r="185">
      <c r="A185" s="2" t="s">
        <v>300</v>
      </c>
      <c r="B185" s="2"/>
      <c r="C185" s="2" t="s">
        <v>44</v>
      </c>
      <c r="D185" s="2" t="s">
        <v>44</v>
      </c>
      <c r="E185" s="2" t="s">
        <v>47</v>
      </c>
      <c r="F185" s="3">
        <v>0.3</v>
      </c>
      <c r="G185" s="4" t="str">
        <f>HYPERLINK("https://himalayas.app/companies/wetravel/jobs/knowledge-help-center-manager-9392644717", "Himalayas")</f>
        <v>Himalayas</v>
      </c>
      <c r="H185" s="5">
        <v>46084.0</v>
      </c>
      <c r="I185" s="6"/>
    </row>
    <row r="186">
      <c r="A186" s="2" t="s">
        <v>301</v>
      </c>
      <c r="B186" s="6"/>
      <c r="C186" s="2" t="s">
        <v>44</v>
      </c>
      <c r="D186" s="2" t="s">
        <v>44</v>
      </c>
      <c r="E186" s="2" t="s">
        <v>47</v>
      </c>
      <c r="F186" s="3">
        <v>0.3</v>
      </c>
      <c r="G186" s="4" t="str">
        <f>HYPERLINK("https://himalayas.app/companies/parsons-corporation/jobs/test-and-integration-planner", "Himalayas")</f>
        <v>Himalayas</v>
      </c>
      <c r="H186" s="5">
        <v>46084.0</v>
      </c>
      <c r="I186" s="6"/>
    </row>
    <row r="187">
      <c r="A187" s="2" t="s">
        <v>302</v>
      </c>
      <c r="B187" s="2"/>
      <c r="C187" s="2" t="s">
        <v>44</v>
      </c>
      <c r="D187" s="2" t="s">
        <v>44</v>
      </c>
      <c r="E187" s="2" t="s">
        <v>47</v>
      </c>
      <c r="F187" s="3">
        <v>0.3</v>
      </c>
      <c r="G187" s="4" t="str">
        <f>HYPERLINK("https://himalayas.app/companies/home-instead/jobs/care-pro", "Himalayas")</f>
        <v>Himalayas</v>
      </c>
      <c r="H187" s="5">
        <v>46084.0</v>
      </c>
      <c r="I187" s="6"/>
    </row>
    <row r="188">
      <c r="A188" s="2" t="s">
        <v>303</v>
      </c>
      <c r="B188" s="2" t="s">
        <v>304</v>
      </c>
      <c r="C188" s="2" t="s">
        <v>44</v>
      </c>
      <c r="D188" s="2" t="s">
        <v>44</v>
      </c>
      <c r="E188" s="2" t="s">
        <v>47</v>
      </c>
      <c r="F188" s="3">
        <v>0.3</v>
      </c>
      <c r="G188" s="4" t="str">
        <f>HYPERLINK("https://himalayas.app/companies/general-motors/jobs/user-experience-manager-robotics", "Himalayas")</f>
        <v>Himalayas</v>
      </c>
      <c r="H188" s="5">
        <v>46084.0</v>
      </c>
      <c r="I188" s="6"/>
    </row>
    <row r="189">
      <c r="A189" s="2" t="s">
        <v>305</v>
      </c>
      <c r="B189" s="2"/>
      <c r="C189" s="2" t="s">
        <v>44</v>
      </c>
      <c r="D189" s="2" t="s">
        <v>44</v>
      </c>
      <c r="E189" s="2" t="s">
        <v>47</v>
      </c>
      <c r="F189" s="3">
        <v>0.3</v>
      </c>
      <c r="G189" s="4" t="str">
        <f>HYPERLINK("https://himalayas.app/companies/loomis-armored/jobs/internal-auditor", "Himalayas")</f>
        <v>Himalayas</v>
      </c>
      <c r="H189" s="5">
        <v>46084.0</v>
      </c>
      <c r="I189" s="6"/>
    </row>
    <row r="190">
      <c r="A190" s="2" t="s">
        <v>306</v>
      </c>
      <c r="B190" s="2"/>
      <c r="C190" s="2" t="s">
        <v>44</v>
      </c>
      <c r="D190" s="2" t="s">
        <v>44</v>
      </c>
      <c r="E190" s="2" t="s">
        <v>47</v>
      </c>
      <c r="F190" s="3">
        <v>0.3</v>
      </c>
      <c r="G190" s="4" t="str">
        <f>HYPERLINK("https://himalayas.app/companies/prominence-advisors/jobs/epic-ambulatory-rehab-analyst", "Himalayas")</f>
        <v>Himalayas</v>
      </c>
      <c r="H190" s="5">
        <v>46084.0</v>
      </c>
      <c r="I190" s="6"/>
    </row>
    <row r="191">
      <c r="A191" s="2" t="s">
        <v>307</v>
      </c>
      <c r="B191" s="2"/>
      <c r="C191" s="2" t="s">
        <v>44</v>
      </c>
      <c r="D191" s="2" t="s">
        <v>44</v>
      </c>
      <c r="E191" s="2" t="s">
        <v>47</v>
      </c>
      <c r="F191" s="3">
        <v>0.3</v>
      </c>
      <c r="G191" s="4" t="str">
        <f>HYPERLINK("https://himalayas.app/companies/ironclad/jobs/podcast-booker", "Himalayas")</f>
        <v>Himalayas</v>
      </c>
      <c r="H191" s="5">
        <v>46084.0</v>
      </c>
      <c r="I191" s="6"/>
    </row>
    <row r="192">
      <c r="A192" s="2" t="s">
        <v>308</v>
      </c>
      <c r="B192" s="2" t="s">
        <v>309</v>
      </c>
      <c r="C192" s="2" t="s">
        <v>22</v>
      </c>
      <c r="D192" s="2" t="s">
        <v>18</v>
      </c>
      <c r="E192" s="2" t="s">
        <v>279</v>
      </c>
      <c r="F192" s="3">
        <v>0.2</v>
      </c>
      <c r="G192" s="4" t="str">
        <f>HYPERLINK("https://tr.linkedin.com/jobs/view/senior-software-engineer-full-stack-at-profen-4374802055", "LinkedIn")</f>
        <v>LinkedIn</v>
      </c>
      <c r="H192" s="5">
        <v>46077.0</v>
      </c>
      <c r="I192" s="6"/>
    </row>
    <row r="193">
      <c r="A193" s="2" t="s">
        <v>310</v>
      </c>
      <c r="B193" s="2" t="s">
        <v>80</v>
      </c>
      <c r="C193" s="2" t="s">
        <v>22</v>
      </c>
      <c r="D193" s="2" t="s">
        <v>18</v>
      </c>
      <c r="E193" s="2" t="s">
        <v>279</v>
      </c>
      <c r="F193" s="3">
        <v>0.2</v>
      </c>
      <c r="G193" s="4" t="str">
        <f>HYPERLINK("https://tr.linkedin.com/jobs/view/embedded-linux-senior-software-engineer-optimisation-at-canonical-4379541636", "LinkedIn")</f>
        <v>LinkedIn</v>
      </c>
      <c r="H193" s="5">
        <v>46082.0</v>
      </c>
      <c r="I193" s="6"/>
    </row>
    <row r="194">
      <c r="A194" s="2" t="s">
        <v>311</v>
      </c>
      <c r="B194" s="2" t="s">
        <v>312</v>
      </c>
      <c r="C194" s="2" t="s">
        <v>22</v>
      </c>
      <c r="D194" s="2" t="s">
        <v>18</v>
      </c>
      <c r="E194" s="2" t="s">
        <v>279</v>
      </c>
      <c r="F194" s="3">
        <v>0.2</v>
      </c>
      <c r="G194" s="4" t="str">
        <f>HYPERLINK("https://tr.linkedin.com/jobs/view/senior-fullstack-engineer-fe-focused-%E2%80%94-monetisation-team-f-m-d-at-pet-media-group-pmg-4377794274", "LinkedIn")</f>
        <v>LinkedIn</v>
      </c>
      <c r="H194" s="5">
        <v>46083.0</v>
      </c>
      <c r="I194" s="6"/>
    </row>
    <row r="195">
      <c r="A195" s="2" t="s">
        <v>313</v>
      </c>
      <c r="B195" s="2" t="s">
        <v>202</v>
      </c>
      <c r="C195" s="2" t="s">
        <v>22</v>
      </c>
      <c r="D195" s="2" t="s">
        <v>41</v>
      </c>
      <c r="E195" s="2" t="s">
        <v>279</v>
      </c>
      <c r="F195" s="3">
        <v>0.2</v>
      </c>
      <c r="G195" s="4" t="str">
        <f>HYPERLINK("https://himalayas.app/companies/next-step-systems/jobs/senior-c-net-software-developer-work-from-home", "Himalayas")</f>
        <v>Himalayas</v>
      </c>
      <c r="H195" s="5">
        <v>46084.0</v>
      </c>
      <c r="I195" s="6"/>
    </row>
    <row r="196">
      <c r="A196" s="2" t="s">
        <v>314</v>
      </c>
      <c r="B196" s="2" t="s">
        <v>315</v>
      </c>
      <c r="C196" s="2" t="s">
        <v>37</v>
      </c>
      <c r="D196" s="2" t="s">
        <v>41</v>
      </c>
      <c r="E196" s="2" t="s">
        <v>279</v>
      </c>
      <c r="F196" s="3">
        <v>0.2</v>
      </c>
      <c r="G196" s="4" t="str">
        <f>HYPERLINK("https://himalayas.app/companies/gopro-consultancy-group-ltd/jobs/microsoft-power-bi-x2f-data-analytics-specialist-full-remote-contactor-5040870517", "Himalayas")</f>
        <v>Himalayas</v>
      </c>
      <c r="H196" s="5">
        <v>46084.0</v>
      </c>
      <c r="I196" s="6"/>
    </row>
    <row r="197">
      <c r="A197" s="2" t="s">
        <v>316</v>
      </c>
      <c r="B197" s="2" t="s">
        <v>317</v>
      </c>
      <c r="C197" s="2" t="s">
        <v>37</v>
      </c>
      <c r="D197" s="2" t="s">
        <v>41</v>
      </c>
      <c r="E197" s="2" t="s">
        <v>279</v>
      </c>
      <c r="F197" s="3">
        <v>0.2</v>
      </c>
      <c r="G197" s="4" t="str">
        <f>HYPERLINK("https://himalayas.app/companies/gopro-consultancy-group-ltd/jobs/data-quality-x2f-etl-specialist-fully-remote-contractor-in-usd-7014917942", "Himalayas")</f>
        <v>Himalayas</v>
      </c>
      <c r="H197" s="5">
        <v>46084.0</v>
      </c>
      <c r="I197" s="6"/>
    </row>
    <row r="198">
      <c r="A198" s="2" t="s">
        <v>318</v>
      </c>
      <c r="B198" s="6"/>
      <c r="C198" s="2" t="s">
        <v>22</v>
      </c>
      <c r="D198" s="2" t="s">
        <v>41</v>
      </c>
      <c r="E198" s="2" t="s">
        <v>279</v>
      </c>
      <c r="F198" s="3">
        <v>0.2</v>
      </c>
      <c r="G198" s="4" t="str">
        <f>HYPERLINK("https://weworkremotely.com/remote-jobs/stellar-ai-senior-software-engineer", "WWRemotely")</f>
        <v>WWRemotely</v>
      </c>
      <c r="H198" s="5">
        <v>45951.0</v>
      </c>
      <c r="I198" s="6"/>
    </row>
    <row r="199">
      <c r="A199" s="2" t="s">
        <v>319</v>
      </c>
      <c r="B199" s="6"/>
      <c r="C199" s="2" t="s">
        <v>37</v>
      </c>
      <c r="D199" s="2" t="s">
        <v>41</v>
      </c>
      <c r="E199" s="2" t="s">
        <v>279</v>
      </c>
      <c r="F199" s="3">
        <v>0.2</v>
      </c>
      <c r="G199" s="4" t="str">
        <f>HYPERLINK("https://himalayas.app/companies/rtx/jobs/senior-manager-s-4hana-data-analytics-reporting", "Himalayas")</f>
        <v>Himalayas</v>
      </c>
      <c r="H199" s="5">
        <v>46069.0</v>
      </c>
      <c r="I199" s="6"/>
    </row>
    <row r="200">
      <c r="A200" s="2" t="s">
        <v>320</v>
      </c>
      <c r="B200" s="2" t="s">
        <v>321</v>
      </c>
      <c r="C200" s="2" t="s">
        <v>37</v>
      </c>
      <c r="D200" s="2" t="s">
        <v>41</v>
      </c>
      <c r="E200" s="2" t="s">
        <v>279</v>
      </c>
      <c r="F200" s="3">
        <v>0.2</v>
      </c>
      <c r="G200" s="4" t="str">
        <f>HYPERLINK("https://himalayas.app/companies/ottimate/jobs/senior-product-manager-ai-capture-5389768088", "Himalayas")</f>
        <v>Himalayas</v>
      </c>
      <c r="H200" s="5">
        <v>46069.0</v>
      </c>
      <c r="I200" s="6"/>
    </row>
    <row r="201">
      <c r="A201" s="2" t="s">
        <v>322</v>
      </c>
      <c r="B201" s="2"/>
      <c r="C201" s="2" t="s">
        <v>63</v>
      </c>
      <c r="D201" s="2" t="s">
        <v>41</v>
      </c>
      <c r="E201" s="2" t="s">
        <v>279</v>
      </c>
      <c r="F201" s="3">
        <v>-0.1</v>
      </c>
      <c r="G201" s="4" t="str">
        <f>HYPERLINK("https://weworkremotely.com/remote-jobs/zipdev-senior-web-developer", "WWRemotely")</f>
        <v>WWRemotely</v>
      </c>
      <c r="H201" s="5">
        <v>46057.0</v>
      </c>
      <c r="I201" s="2"/>
    </row>
    <row r="202">
      <c r="A202" s="2" t="s">
        <v>323</v>
      </c>
      <c r="B202" s="2" t="s">
        <v>324</v>
      </c>
      <c r="C202" s="2" t="s">
        <v>63</v>
      </c>
      <c r="D202" s="2" t="s">
        <v>18</v>
      </c>
      <c r="E202" s="2" t="s">
        <v>279</v>
      </c>
      <c r="F202" s="3">
        <v>-0.1</v>
      </c>
      <c r="G202" s="4" t="str">
        <f>HYPERLINK("https://tr.linkedin.com/jobs/view/senior-frontend-software-engineer-ankara-turkey-at-onepin-inc-4373429474", "LinkedIn")</f>
        <v>LinkedIn</v>
      </c>
      <c r="H202" s="5">
        <v>46073.0</v>
      </c>
      <c r="I202" s="6"/>
    </row>
    <row r="203">
      <c r="A203" s="2" t="s">
        <v>325</v>
      </c>
      <c r="B203" s="2" t="s">
        <v>326</v>
      </c>
      <c r="C203" s="2" t="s">
        <v>63</v>
      </c>
      <c r="D203" s="2" t="s">
        <v>18</v>
      </c>
      <c r="E203" s="2" t="s">
        <v>279</v>
      </c>
      <c r="F203" s="3">
        <v>-0.1</v>
      </c>
      <c r="G203" s="4" t="str">
        <f>HYPERLINK("https://tr.linkedin.com/jobs/view/senior-frontend-developer-at-jotform-4328008446", "LinkedIn")</f>
        <v>LinkedIn</v>
      </c>
      <c r="H203" s="5">
        <v>46063.0</v>
      </c>
      <c r="I203" s="6"/>
    </row>
    <row r="204">
      <c r="A204" s="2" t="s">
        <v>327</v>
      </c>
      <c r="B204" s="2"/>
      <c r="C204" s="2" t="s">
        <v>100</v>
      </c>
      <c r="D204" s="2" t="s">
        <v>41</v>
      </c>
      <c r="E204" s="2" t="s">
        <v>279</v>
      </c>
      <c r="F204" s="3">
        <v>-0.1</v>
      </c>
      <c r="G204" s="4" t="str">
        <f>HYPERLINK("https://weworkremotely.com/remote-jobs/onthegosystems-senior-php-developer-3", "WWRemotely")</f>
        <v>WWRemotely</v>
      </c>
      <c r="H204" s="5">
        <v>46056.0</v>
      </c>
      <c r="I204" s="6"/>
    </row>
    <row r="205">
      <c r="A205" s="2" t="s">
        <v>328</v>
      </c>
      <c r="B205" s="2"/>
      <c r="C205" s="2" t="s">
        <v>100</v>
      </c>
      <c r="D205" s="2" t="s">
        <v>41</v>
      </c>
      <c r="E205" s="2" t="s">
        <v>279</v>
      </c>
      <c r="F205" s="3">
        <v>-0.1</v>
      </c>
      <c r="G205" s="4" t="str">
        <f>HYPERLINK("https://weworkremotely.com/remote-jobs/walker-smith-senior-web-developer-remote", "WWRemotely")</f>
        <v>WWRemotely</v>
      </c>
      <c r="H205" s="5">
        <v>46055.0</v>
      </c>
      <c r="I205" s="6"/>
    </row>
    <row r="206">
      <c r="A206" s="2" t="s">
        <v>329</v>
      </c>
      <c r="B206" s="2"/>
      <c r="C206" s="2" t="s">
        <v>63</v>
      </c>
      <c r="D206" s="2" t="s">
        <v>41</v>
      </c>
      <c r="E206" s="2" t="s">
        <v>279</v>
      </c>
      <c r="F206" s="3">
        <v>-0.1</v>
      </c>
      <c r="G206" s="4" t="str">
        <f>HYPERLINK("https://weworkremotely.com/remote-jobs/eran-group-senior-back-end-web-developer", "WWRemotely")</f>
        <v>WWRemotely</v>
      </c>
      <c r="H206" s="5">
        <v>46055.0</v>
      </c>
      <c r="I206" s="6"/>
    </row>
    <row r="207">
      <c r="A207" s="2" t="s">
        <v>330</v>
      </c>
      <c r="B207" s="2"/>
      <c r="C207" s="2" t="s">
        <v>88</v>
      </c>
      <c r="D207" s="2" t="s">
        <v>41</v>
      </c>
      <c r="E207" s="2" t="s">
        <v>279</v>
      </c>
      <c r="F207" s="3">
        <v>-0.1</v>
      </c>
      <c r="G207" s="4" t="str">
        <f>HYPERLINK("https://himalayas.app/companies/superior-insurance-partners/jobs/optimization-specialist-remote-or-hybrid", "Himalayas")</f>
        <v>Himalayas</v>
      </c>
      <c r="H207" s="5">
        <v>46084.0</v>
      </c>
      <c r="I207" s="6"/>
    </row>
    <row r="208">
      <c r="A208" s="2" t="s">
        <v>331</v>
      </c>
      <c r="B208" s="2" t="s">
        <v>332</v>
      </c>
      <c r="C208" s="2" t="s">
        <v>114</v>
      </c>
      <c r="D208" s="2" t="s">
        <v>41</v>
      </c>
      <c r="E208" s="2" t="s">
        <v>279</v>
      </c>
      <c r="F208" s="3">
        <v>-0.1</v>
      </c>
      <c r="G208" s="4" t="str">
        <f>HYPERLINK("https://himalayas.app/companies/gopro-consultancy-group-ltd/jobs/senior-java-developer-full-remote-salary-in-usd-4588529240", "Himalayas")</f>
        <v>Himalayas</v>
      </c>
      <c r="H208" s="5">
        <v>46084.0</v>
      </c>
      <c r="I208" s="6"/>
    </row>
    <row r="209">
      <c r="A209" s="2" t="s">
        <v>333</v>
      </c>
      <c r="B209" s="6"/>
      <c r="C209" s="2" t="s">
        <v>114</v>
      </c>
      <c r="D209" s="2" t="s">
        <v>41</v>
      </c>
      <c r="E209" s="2" t="s">
        <v>279</v>
      </c>
      <c r="F209" s="3">
        <v>-0.1</v>
      </c>
      <c r="G209" s="4" t="str">
        <f>HYPERLINK("https://weworkremotely.com/remote-jobs/details-senior-web-application-developer", "WWRemotely")</f>
        <v>WWRemotely</v>
      </c>
      <c r="H209" s="5">
        <v>46048.0</v>
      </c>
      <c r="I209" s="6"/>
    </row>
    <row r="210">
      <c r="A210" s="2" t="s">
        <v>334</v>
      </c>
      <c r="B210" s="2" t="s">
        <v>335</v>
      </c>
      <c r="C210" s="2" t="s">
        <v>100</v>
      </c>
      <c r="D210" s="2" t="s">
        <v>18</v>
      </c>
      <c r="E210" s="2" t="s">
        <v>279</v>
      </c>
      <c r="F210" s="3">
        <v>-0.1</v>
      </c>
      <c r="G210" s="4" t="str">
        <f>HYPERLINK("https://tr.linkedin.com/jobs/view/k%C4%B1demli-backend-yaz%C4%B1l%C4%B1m-uzman%C4%B1-at-karel-4368658016", "LinkedIn")</f>
        <v>LinkedIn</v>
      </c>
      <c r="H210" s="5">
        <v>46056.0</v>
      </c>
      <c r="I210" s="6"/>
    </row>
    <row r="211">
      <c r="A211" s="2" t="s">
        <v>336</v>
      </c>
      <c r="B211" s="2" t="s">
        <v>337</v>
      </c>
      <c r="C211" s="2" t="s">
        <v>100</v>
      </c>
      <c r="D211" s="2" t="s">
        <v>18</v>
      </c>
      <c r="E211" s="2" t="s">
        <v>279</v>
      </c>
      <c r="F211" s="3">
        <v>-0.1</v>
      </c>
      <c r="G211" s="4" t="str">
        <f>HYPERLINK("https://tr.linkedin.com/jobs/view/senior-backend-engineer-at-bumper-4291349026", "LinkedIn")</f>
        <v>LinkedIn</v>
      </c>
      <c r="H211" s="5">
        <v>46068.0</v>
      </c>
      <c r="I211" s="6"/>
    </row>
    <row r="212">
      <c r="A212" s="2" t="s">
        <v>338</v>
      </c>
      <c r="B212" s="2" t="s">
        <v>339</v>
      </c>
      <c r="C212" s="2" t="s">
        <v>63</v>
      </c>
      <c r="D212" s="2" t="s">
        <v>18</v>
      </c>
      <c r="E212" s="2" t="s">
        <v>279</v>
      </c>
      <c r="F212" s="3">
        <v>-0.1</v>
      </c>
      <c r="G212" s="4" t="str">
        <f>HYPERLINK("https://tr.linkedin.com/jobs/view/senior-full-stack-developer-at-inavitas-4349547700", "LinkedIn")</f>
        <v>LinkedIn</v>
      </c>
      <c r="H212" s="5">
        <v>46058.0</v>
      </c>
      <c r="I212" s="6"/>
    </row>
    <row r="213">
      <c r="A213" s="2" t="s">
        <v>340</v>
      </c>
      <c r="B213" s="2" t="s">
        <v>341</v>
      </c>
      <c r="C213" s="2" t="s">
        <v>63</v>
      </c>
      <c r="D213" s="2" t="s">
        <v>18</v>
      </c>
      <c r="E213" s="2" t="s">
        <v>279</v>
      </c>
      <c r="F213" s="3">
        <v>-0.1</v>
      </c>
      <c r="G213" s="4" t="str">
        <f>HYPERLINK("https://tr.linkedin.com/jobs/view/senior-full-stack-developer-js-edtech-at-paradox-en-4365024260", "LinkedIn")</f>
        <v>LinkedIn</v>
      </c>
      <c r="H213" s="5">
        <v>46043.0</v>
      </c>
      <c r="I213" s="6"/>
    </row>
    <row r="214">
      <c r="A214" s="2" t="s">
        <v>342</v>
      </c>
      <c r="B214" s="2" t="s">
        <v>326</v>
      </c>
      <c r="C214" s="2" t="s">
        <v>100</v>
      </c>
      <c r="D214" s="2" t="s">
        <v>18</v>
      </c>
      <c r="E214" s="2" t="s">
        <v>279</v>
      </c>
      <c r="F214" s="3">
        <v>-0.1</v>
      </c>
      <c r="G214" s="4" t="str">
        <f>HYPERLINK("https://tr.linkedin.com/jobs/view/senior-php-developer-at-jotform-4122792957", "LinkedIn")</f>
        <v>LinkedIn</v>
      </c>
      <c r="H214" s="5">
        <v>46055.0</v>
      </c>
      <c r="I214" s="6"/>
    </row>
    <row r="215">
      <c r="A215" s="2" t="s">
        <v>343</v>
      </c>
      <c r="B215" s="2" t="s">
        <v>326</v>
      </c>
      <c r="C215" s="2" t="s">
        <v>63</v>
      </c>
      <c r="D215" s="2" t="s">
        <v>18</v>
      </c>
      <c r="E215" s="2" t="s">
        <v>279</v>
      </c>
      <c r="F215" s="3">
        <v>-0.1</v>
      </c>
      <c r="G215" s="4" t="str">
        <f>HYPERLINK("https://tr.linkedin.com/jobs/view/senior-ui-developer-at-jotform-4322712738", "LinkedIn")</f>
        <v>LinkedIn</v>
      </c>
      <c r="H215" s="5">
        <v>46058.0</v>
      </c>
      <c r="I215" s="6"/>
    </row>
    <row r="216">
      <c r="A216" s="2" t="s">
        <v>344</v>
      </c>
      <c r="B216" s="6"/>
      <c r="C216" s="2" t="s">
        <v>100</v>
      </c>
      <c r="D216" s="2" t="s">
        <v>41</v>
      </c>
      <c r="E216" s="2" t="s">
        <v>279</v>
      </c>
      <c r="F216" s="3">
        <v>-0.1</v>
      </c>
      <c r="G216" s="4" t="str">
        <f>HYPERLINK("https://weworkremotely.com/remote-jobs/onthegosystems-senior-ruby-on-rails-developer", "WWRemotely")</f>
        <v>WWRemotely</v>
      </c>
      <c r="H216" s="5">
        <v>46045.0</v>
      </c>
      <c r="I216" s="6"/>
    </row>
    <row r="217">
      <c r="A217" s="2" t="s">
        <v>345</v>
      </c>
      <c r="B217" s="6"/>
      <c r="C217" s="2" t="s">
        <v>63</v>
      </c>
      <c r="D217" s="2" t="s">
        <v>41</v>
      </c>
      <c r="E217" s="2" t="s">
        <v>279</v>
      </c>
      <c r="F217" s="3">
        <v>-0.1</v>
      </c>
      <c r="G217" s="4" t="str">
        <f>HYPERLINK("https://weworkremotely.com/remote-jobs/walter-senior-software-engineer", "WWRemotely")</f>
        <v>WWRemotely</v>
      </c>
      <c r="H217" s="5">
        <v>46051.0</v>
      </c>
      <c r="I217" s="6"/>
    </row>
    <row r="218">
      <c r="A218" s="2" t="s">
        <v>346</v>
      </c>
      <c r="B218" s="6"/>
      <c r="C218" s="2" t="s">
        <v>100</v>
      </c>
      <c r="D218" s="2" t="s">
        <v>41</v>
      </c>
      <c r="E218" s="2" t="s">
        <v>279</v>
      </c>
      <c r="F218" s="3">
        <v>-0.1</v>
      </c>
      <c r="G218" s="4" t="str">
        <f>HYPERLINK("https://weworkremotely.com/remote-jobs/clerk-senior-software-engineer-growth", "WWRemotely")</f>
        <v>WWRemotely</v>
      </c>
      <c r="H218" s="5">
        <v>46048.0</v>
      </c>
      <c r="I218" s="6"/>
    </row>
    <row r="219">
      <c r="A219" s="2" t="s">
        <v>347</v>
      </c>
      <c r="B219" s="2" t="s">
        <v>348</v>
      </c>
      <c r="C219" s="2" t="s">
        <v>11</v>
      </c>
      <c r="D219" s="2" t="s">
        <v>12</v>
      </c>
      <c r="E219" s="2" t="s">
        <v>279</v>
      </c>
      <c r="F219" s="3">
        <v>-0.3</v>
      </c>
      <c r="G219" s="4" t="str">
        <f>HYPERLINK("https://tr.linkedin.com/jobs/view/unity-game-developer-mid-senior-at-joker-games-4373959302", "LinkedIn")</f>
        <v>LinkedIn</v>
      </c>
      <c r="H219" s="5">
        <v>46070.0</v>
      </c>
      <c r="I219" s="6"/>
    </row>
    <row r="220">
      <c r="A220" s="2" t="s">
        <v>349</v>
      </c>
      <c r="B220" s="2" t="s">
        <v>350</v>
      </c>
      <c r="C220" s="2" t="s">
        <v>11</v>
      </c>
      <c r="D220" s="2" t="s">
        <v>12</v>
      </c>
      <c r="E220" s="2" t="s">
        <v>279</v>
      </c>
      <c r="F220" s="3">
        <v>-0.3</v>
      </c>
      <c r="G220" s="4" t="str">
        <f>HYPERLINK("https://tr.linkedin.com/jobs/view/unity-game-developer-mid-senior-at-zoihub-4378175656", "LinkedIn")</f>
        <v>LinkedIn</v>
      </c>
      <c r="H220" s="5">
        <v>46084.0</v>
      </c>
      <c r="I220" s="6"/>
    </row>
    <row r="221">
      <c r="A221" s="2" t="s">
        <v>351</v>
      </c>
      <c r="B221" s="2" t="s">
        <v>352</v>
      </c>
      <c r="C221" s="2" t="s">
        <v>11</v>
      </c>
      <c r="D221" s="2" t="s">
        <v>12</v>
      </c>
      <c r="E221" s="2" t="s">
        <v>279</v>
      </c>
      <c r="F221" s="3">
        <v>-0.3</v>
      </c>
      <c r="G221" s="4" t="str">
        <f>HYPERLINK("https://tr.linkedin.com/jobs/view/senior-unity-developer-at-supergears-games-4378476062", "LinkedIn")</f>
        <v>LinkedIn</v>
      </c>
      <c r="H221" s="5">
        <v>46083.0</v>
      </c>
      <c r="I221" s="6"/>
    </row>
    <row r="222">
      <c r="A222" s="2" t="s">
        <v>278</v>
      </c>
      <c r="B222" s="2" t="s">
        <v>353</v>
      </c>
      <c r="C222" s="2" t="s">
        <v>11</v>
      </c>
      <c r="D222" s="2" t="s">
        <v>12</v>
      </c>
      <c r="E222" s="2" t="s">
        <v>279</v>
      </c>
      <c r="F222" s="3">
        <v>-0.3</v>
      </c>
      <c r="G222" s="4" t="str">
        <f>HYPERLINK("https://tr.linkedin.com/jobs/view/senior-game-developer-at-bigger-games-4380914421", "LinkedIn")</f>
        <v>LinkedIn</v>
      </c>
      <c r="H222" s="5">
        <v>46085.0</v>
      </c>
      <c r="I222" s="6"/>
    </row>
    <row r="223">
      <c r="A223" s="2" t="s">
        <v>354</v>
      </c>
      <c r="B223" s="2" t="s">
        <v>355</v>
      </c>
      <c r="C223" s="2" t="s">
        <v>11</v>
      </c>
      <c r="D223" s="2" t="s">
        <v>12</v>
      </c>
      <c r="E223" s="2" t="s">
        <v>279</v>
      </c>
      <c r="F223" s="3">
        <v>-0.3</v>
      </c>
      <c r="G223" s="4" t="str">
        <f>HYPERLINK("https://www.jobilize.com/job/us-dc-washington-senior-game-designer-mob-entertainment-hiring-now?utm_campaign=google_jobs_apply&amp;utm_source=google_jobs_apply&amp;utm_medium=organic", "Link")</f>
        <v>Link</v>
      </c>
      <c r="H223" s="5">
        <v>46081.0</v>
      </c>
      <c r="I223" s="6"/>
    </row>
    <row r="224">
      <c r="A224" s="2" t="s">
        <v>356</v>
      </c>
      <c r="B224" s="2" t="s">
        <v>153</v>
      </c>
      <c r="C224" s="2" t="s">
        <v>11</v>
      </c>
      <c r="D224" s="2" t="s">
        <v>12</v>
      </c>
      <c r="E224" s="2" t="s">
        <v>279</v>
      </c>
      <c r="F224" s="3">
        <v>-0.3</v>
      </c>
      <c r="G224" s="4" t="str">
        <f>HYPERLINK("https://www.linkedin.com/jobs/view/senior-producer-game-features-at-epic-games-4379484877?utm_campaign=google_jobs_apply&amp;utm_source=google_jobs_apply&amp;utm_medium=organic", "LinkedIn")</f>
        <v>LinkedIn</v>
      </c>
      <c r="H224" s="5">
        <v>46085.0</v>
      </c>
      <c r="I224" s="6"/>
    </row>
    <row r="225">
      <c r="A225" s="2" t="s">
        <v>357</v>
      </c>
      <c r="B225" s="2" t="s">
        <v>358</v>
      </c>
      <c r="C225" s="2" t="s">
        <v>11</v>
      </c>
      <c r="D225" s="2" t="s">
        <v>12</v>
      </c>
      <c r="E225" s="2" t="s">
        <v>279</v>
      </c>
      <c r="F225" s="3">
        <v>-0.3</v>
      </c>
      <c r="G225" s="4" t="str">
        <f>HYPERLINK("https://us.jobrapido.com/jobpreview/2781538427831582720?utm_campaign=google_jobs_apply&amp;utm_source=google_jobs_apply&amp;utm_medium=organic", "Link")</f>
        <v>Link</v>
      </c>
      <c r="H225" s="5">
        <v>46075.0</v>
      </c>
      <c r="I225" s="6"/>
    </row>
    <row r="226">
      <c r="A226" s="2" t="s">
        <v>359</v>
      </c>
      <c r="B226" s="2" t="s">
        <v>360</v>
      </c>
      <c r="C226" s="2" t="s">
        <v>11</v>
      </c>
      <c r="D226" s="2" t="s">
        <v>12</v>
      </c>
      <c r="E226" s="2" t="s">
        <v>279</v>
      </c>
      <c r="F226" s="3">
        <v>-0.3</v>
      </c>
      <c r="G226" s="4" t="str">
        <f>HYPERLINK("https://tr.linkedin.com/jobs/view/senior-game-developer-on-site-at-mavis-games-4356459760", "LinkedIn")</f>
        <v>LinkedIn</v>
      </c>
      <c r="H226" s="5">
        <v>46052.0</v>
      </c>
      <c r="I226" s="6"/>
    </row>
    <row r="227">
      <c r="A227" s="2" t="s">
        <v>278</v>
      </c>
      <c r="B227" s="2" t="s">
        <v>361</v>
      </c>
      <c r="C227" s="2" t="s">
        <v>11</v>
      </c>
      <c r="D227" s="2" t="s">
        <v>12</v>
      </c>
      <c r="E227" s="2" t="s">
        <v>279</v>
      </c>
      <c r="F227" s="3">
        <v>-0.3</v>
      </c>
      <c r="G227" s="4" t="str">
        <f>HYPERLINK("https://tr.linkedin.com/jobs/view/senior-game-developer-at-holago-games-4364705063", "LinkedIn")</f>
        <v>LinkedIn</v>
      </c>
      <c r="H227" s="5">
        <v>46069.0</v>
      </c>
      <c r="I227" s="6"/>
    </row>
    <row r="228">
      <c r="A228" s="2" t="s">
        <v>362</v>
      </c>
      <c r="B228" s="2" t="s">
        <v>363</v>
      </c>
      <c r="C228" s="2" t="s">
        <v>11</v>
      </c>
      <c r="D228" s="2" t="s">
        <v>12</v>
      </c>
      <c r="E228" s="2" t="s">
        <v>279</v>
      </c>
      <c r="F228" s="3">
        <v>-0.3</v>
      </c>
      <c r="G228" s="4" t="str">
        <f>HYPERLINK("https://tr.linkedin.com/jobs/view/unity3d-vr-developer-mid-senior-at-junosis-technology-4363959971", "LinkedIn")</f>
        <v>LinkedIn</v>
      </c>
      <c r="H228" s="5">
        <v>46066.0</v>
      </c>
      <c r="I228" s="6"/>
    </row>
    <row r="229">
      <c r="A229" s="2" t="s">
        <v>278</v>
      </c>
      <c r="B229" s="2" t="s">
        <v>10</v>
      </c>
      <c r="C229" s="2" t="s">
        <v>11</v>
      </c>
      <c r="D229" s="2" t="s">
        <v>12</v>
      </c>
      <c r="E229" s="2" t="s">
        <v>279</v>
      </c>
      <c r="F229" s="3">
        <v>-0.3</v>
      </c>
      <c r="G229" s="4" t="str">
        <f>HYPERLINK("https://tr.linkedin.com/jobs/view/senior-game-developer-at-good-job-games-4336716850", "LinkedIn")</f>
        <v>LinkedIn</v>
      </c>
      <c r="H229" s="5">
        <v>46062.0</v>
      </c>
      <c r="I229" s="6"/>
    </row>
    <row r="230">
      <c r="A230" s="2" t="s">
        <v>278</v>
      </c>
      <c r="B230" s="2" t="s">
        <v>364</v>
      </c>
      <c r="C230" s="2" t="s">
        <v>11</v>
      </c>
      <c r="D230" s="2" t="s">
        <v>12</v>
      </c>
      <c r="E230" s="2" t="s">
        <v>279</v>
      </c>
      <c r="F230" s="3">
        <v>-0.3</v>
      </c>
      <c r="G230" s="4" t="str">
        <f>HYPERLINK("https://tr.linkedin.com/jobs/view/senior-game-developer-at-spyke-games-4330125309", "LinkedIn")</f>
        <v>LinkedIn</v>
      </c>
      <c r="H230" s="5">
        <v>46041.0</v>
      </c>
      <c r="I230" s="6"/>
    </row>
    <row r="231">
      <c r="A231" s="2" t="s">
        <v>365</v>
      </c>
      <c r="B231" s="2" t="s">
        <v>361</v>
      </c>
      <c r="C231" s="2" t="s">
        <v>11</v>
      </c>
      <c r="D231" s="2" t="s">
        <v>12</v>
      </c>
      <c r="E231" s="2" t="s">
        <v>279</v>
      </c>
      <c r="F231" s="3">
        <v>-0.3</v>
      </c>
      <c r="G231" s="4" t="str">
        <f>HYPERLINK("https://tr.linkedin.com/jobs/view/senior-game-designer-level-designer-at-holago-games-4364558432", "LinkedIn")</f>
        <v>LinkedIn</v>
      </c>
      <c r="H231" s="5">
        <v>46069.0</v>
      </c>
      <c r="I231" s="6"/>
    </row>
    <row r="232">
      <c r="A232" s="2" t="s">
        <v>366</v>
      </c>
      <c r="B232" s="2" t="s">
        <v>367</v>
      </c>
      <c r="C232" s="2" t="s">
        <v>11</v>
      </c>
      <c r="D232" s="2" t="s">
        <v>12</v>
      </c>
      <c r="E232" s="2" t="s">
        <v>279</v>
      </c>
      <c r="F232" s="3">
        <v>-0.3</v>
      </c>
      <c r="G232" s="4" t="str">
        <f>HYPERLINK("https://tr.linkedin.com/jobs/view/senior-mobile-game-engineer-at-zynga-4362832707", "LinkedIn")</f>
        <v>LinkedIn</v>
      </c>
      <c r="H232" s="5">
        <v>46058.0</v>
      </c>
      <c r="I232" s="6"/>
    </row>
    <row r="233">
      <c r="A233" s="2" t="s">
        <v>278</v>
      </c>
      <c r="B233" s="2" t="s">
        <v>368</v>
      </c>
      <c r="C233" s="2" t="s">
        <v>11</v>
      </c>
      <c r="D233" s="2" t="s">
        <v>12</v>
      </c>
      <c r="E233" s="2" t="s">
        <v>279</v>
      </c>
      <c r="F233" s="3">
        <v>-0.3</v>
      </c>
      <c r="G233" s="4" t="str">
        <f>HYPERLINK("https://www.optnation.com/senior-game-developer-job-in-washington-dc-view-jobid-28547?utm_campaign=google_jobs_apply&amp;utm_source=google_jobs_apply&amp;utm_medium=organic", "Link")</f>
        <v>Link</v>
      </c>
      <c r="H233" s="7"/>
      <c r="I233" s="6"/>
    </row>
    <row r="234">
      <c r="A234" s="2" t="s">
        <v>369</v>
      </c>
      <c r="B234" s="2" t="s">
        <v>153</v>
      </c>
      <c r="C234" s="2" t="s">
        <v>11</v>
      </c>
      <c r="D234" s="2" t="s">
        <v>12</v>
      </c>
      <c r="E234" s="2" t="s">
        <v>279</v>
      </c>
      <c r="F234" s="3">
        <v>-0.3</v>
      </c>
      <c r="G234" s="4" t="str">
        <f>HYPERLINK("https://www.learn4good.com/jobs/maryland/software_development/4815811058/e/?utm_campaign=google_jobs_apply&amp;utm_source=google_jobs_apply&amp;utm_medium=organic", "Link")</f>
        <v>Link</v>
      </c>
      <c r="H234" s="5">
        <v>46048.0</v>
      </c>
      <c r="I234" s="6"/>
    </row>
    <row r="235">
      <c r="A235" s="2" t="s">
        <v>370</v>
      </c>
      <c r="B235" s="2" t="s">
        <v>371</v>
      </c>
      <c r="C235" s="2" t="s">
        <v>11</v>
      </c>
      <c r="D235" s="2" t="s">
        <v>12</v>
      </c>
      <c r="E235" s="2" t="s">
        <v>279</v>
      </c>
      <c r="F235" s="3">
        <v>-0.3</v>
      </c>
      <c r="G235" s="4" t="str">
        <f>HYPERLINK("https://www.indeed.com/viewjob?jk=5dd597e15b2f7571&amp;utm_campaign=google_jobs_apply&amp;utm_source=google_jobs_apply&amp;utm_medium=organic", "Indeed")</f>
        <v>Indeed</v>
      </c>
      <c r="H235" s="7"/>
      <c r="I235" s="6"/>
    </row>
    <row r="236">
      <c r="A236" s="2" t="s">
        <v>372</v>
      </c>
      <c r="B236" s="2" t="s">
        <v>371</v>
      </c>
      <c r="C236" s="2" t="s">
        <v>11</v>
      </c>
      <c r="D236" s="2" t="s">
        <v>12</v>
      </c>
      <c r="E236" s="2" t="s">
        <v>279</v>
      </c>
      <c r="F236" s="3">
        <v>-0.3</v>
      </c>
      <c r="G236" s="4" t="str">
        <f>HYPERLINK("https://www.indeed.com/viewjob?jk=37b9dc069ee54c2f&amp;utm_campaign=google_jobs_apply&amp;utm_source=google_jobs_apply&amp;utm_medium=organic", "Indeed")</f>
        <v>Indeed</v>
      </c>
      <c r="H236" s="7"/>
      <c r="I236" s="6"/>
    </row>
    <row r="237">
      <c r="A237" s="2" t="s">
        <v>373</v>
      </c>
      <c r="B237" s="2" t="s">
        <v>374</v>
      </c>
      <c r="C237" s="2" t="s">
        <v>17</v>
      </c>
      <c r="D237" s="2" t="s">
        <v>18</v>
      </c>
      <c r="E237" s="2" t="s">
        <v>279</v>
      </c>
      <c r="F237" s="3">
        <v>-0.4</v>
      </c>
      <c r="G237" s="4" t="str">
        <f>HYPERLINK("https://tr.linkedin.com/jobs/view/uzman-yaz%C4%B1l%C4%B1m-m%C3%BChendisi-at-stm-4353951406", "LinkedIn")</f>
        <v>LinkedIn</v>
      </c>
      <c r="H237" s="5">
        <v>46042.0</v>
      </c>
      <c r="I237" s="6"/>
    </row>
    <row r="238">
      <c r="A238" s="2" t="s">
        <v>375</v>
      </c>
      <c r="B238" s="2" t="s">
        <v>376</v>
      </c>
      <c r="C238" s="2" t="s">
        <v>17</v>
      </c>
      <c r="D238" s="2" t="s">
        <v>18</v>
      </c>
      <c r="E238" s="2" t="s">
        <v>279</v>
      </c>
      <c r="F238" s="3">
        <v>-0.4</v>
      </c>
      <c r="G238" s="4" t="str">
        <f>HYPERLINK("https://tr.linkedin.com/jobs/view/k%C4%B1demli-yaz%C4%B1l%C4%B1m-uzman%C4%B1-at-bilkent-holding-a-%C5%9F-4356521909", "LinkedIn")</f>
        <v>LinkedIn</v>
      </c>
      <c r="H238" s="5">
        <v>46050.0</v>
      </c>
      <c r="I238" s="6"/>
    </row>
    <row r="239">
      <c r="A239" s="2" t="s">
        <v>377</v>
      </c>
      <c r="B239" s="2" t="s">
        <v>374</v>
      </c>
      <c r="C239" s="2" t="s">
        <v>17</v>
      </c>
      <c r="D239" s="2" t="s">
        <v>18</v>
      </c>
      <c r="E239" s="2" t="s">
        <v>279</v>
      </c>
      <c r="F239" s="3">
        <v>-0.4</v>
      </c>
      <c r="G239" s="4" t="str">
        <f>HYPERLINK("https://tr.linkedin.com/jobs/view/k%C4%B1demli-yaz%C4%B1l%C4%B1m-m%C3%BChendisi-at-stm-4361786262", "LinkedIn")</f>
        <v>LinkedIn</v>
      </c>
      <c r="H239" s="5">
        <v>46062.0</v>
      </c>
      <c r="I239" s="6"/>
    </row>
    <row r="240">
      <c r="A240" s="2" t="s">
        <v>378</v>
      </c>
      <c r="B240" s="2" t="s">
        <v>379</v>
      </c>
      <c r="C240" s="2" t="s">
        <v>17</v>
      </c>
      <c r="D240" s="2" t="s">
        <v>18</v>
      </c>
      <c r="E240" s="2" t="s">
        <v>279</v>
      </c>
      <c r="F240" s="3">
        <v>-0.4</v>
      </c>
      <c r="G240" s="4" t="str">
        <f>HYPERLINK("https://tr.linkedin.com/jobs/view/senior-full-stack-engineer-python-react-ankara-tr-at-trustlab-4370830704", "LinkedIn")</f>
        <v>LinkedIn</v>
      </c>
      <c r="H240" s="5">
        <v>46062.0</v>
      </c>
      <c r="I240" s="6"/>
    </row>
    <row r="241">
      <c r="A241" s="2" t="s">
        <v>380</v>
      </c>
      <c r="B241" s="2" t="s">
        <v>381</v>
      </c>
      <c r="C241" s="2" t="s">
        <v>164</v>
      </c>
      <c r="D241" s="2" t="s">
        <v>41</v>
      </c>
      <c r="E241" s="2" t="s">
        <v>279</v>
      </c>
      <c r="F241" s="3">
        <v>-0.4</v>
      </c>
      <c r="G241" s="4" t="str">
        <f>HYPERLINK("https://himalayas.app/companies/abbott/jobs/clinical-specialist-coronary-crown-point-in-96089083", "Himalayas")</f>
        <v>Himalayas</v>
      </c>
      <c r="H241" s="5">
        <v>46069.0</v>
      </c>
      <c r="I241" s="6"/>
    </row>
    <row r="242">
      <c r="A242" s="2" t="s">
        <v>382</v>
      </c>
      <c r="B242" s="2" t="s">
        <v>383</v>
      </c>
      <c r="C242" s="2" t="s">
        <v>22</v>
      </c>
      <c r="D242" s="2" t="s">
        <v>12</v>
      </c>
      <c r="E242" s="2" t="s">
        <v>279</v>
      </c>
      <c r="F242" s="3">
        <v>-0.6</v>
      </c>
      <c r="G242" s="4" t="str">
        <f>HYPERLINK("https://tr.linkedin.com/jobs/view/senior-software-developer-at-gtech-4376585758", "LinkedIn")</f>
        <v>LinkedIn</v>
      </c>
      <c r="H242" s="5">
        <v>46076.0</v>
      </c>
      <c r="I242" s="6"/>
    </row>
    <row r="243">
      <c r="A243" s="2" t="s">
        <v>384</v>
      </c>
      <c r="B243" s="2" t="s">
        <v>385</v>
      </c>
      <c r="C243" s="2" t="s">
        <v>22</v>
      </c>
      <c r="D243" s="2" t="s">
        <v>12</v>
      </c>
      <c r="E243" s="2" t="s">
        <v>279</v>
      </c>
      <c r="F243" s="3">
        <v>-0.6</v>
      </c>
      <c r="G243" s="4" t="str">
        <f>HYPERLINK("https://www.indeed.com/viewjob?jk=ee5cdada52faf29e&amp;utm_campaign=google_jobs_apply&amp;utm_source=google_jobs_apply&amp;utm_medium=organic", "Indeed")</f>
        <v>Indeed</v>
      </c>
      <c r="H243" s="5">
        <v>46079.0</v>
      </c>
      <c r="I243" s="6"/>
    </row>
    <row r="244">
      <c r="A244" s="2" t="s">
        <v>386</v>
      </c>
      <c r="B244" s="2" t="s">
        <v>387</v>
      </c>
      <c r="C244" s="2" t="s">
        <v>22</v>
      </c>
      <c r="D244" s="2" t="s">
        <v>12</v>
      </c>
      <c r="E244" s="2" t="s">
        <v>279</v>
      </c>
      <c r="F244" s="3">
        <v>-0.6</v>
      </c>
      <c r="G244" s="4" t="str">
        <f>HYPERLINK("https://jobs.6amcity.com/job/317296/senior-net-c-developer/?utm_campaign=google_jobs_apply&amp;utm_source=google_jobs_apply&amp;utm_medium=organic", "Link")</f>
        <v>Link</v>
      </c>
      <c r="H244" s="5">
        <v>46069.0</v>
      </c>
      <c r="I244" s="6"/>
    </row>
    <row r="245">
      <c r="A245" s="2" t="s">
        <v>388</v>
      </c>
      <c r="B245" s="2" t="s">
        <v>389</v>
      </c>
      <c r="C245" s="2" t="s">
        <v>22</v>
      </c>
      <c r="D245" s="2" t="s">
        <v>12</v>
      </c>
      <c r="E245" s="2" t="s">
        <v>279</v>
      </c>
      <c r="F245" s="3">
        <v>-0.6</v>
      </c>
      <c r="G245" s="4" t="str">
        <f>HYPERLINK("https://himalayas.app/companies/docker/jobs/senior-sales-engineer-strategic-emea-french-english", "Himalayas")</f>
        <v>Himalayas</v>
      </c>
      <c r="H245" s="5">
        <v>46084.0</v>
      </c>
      <c r="I245" s="6"/>
    </row>
    <row r="246">
      <c r="A246" s="2" t="s">
        <v>390</v>
      </c>
      <c r="B246" s="2"/>
      <c r="C246" s="2" t="s">
        <v>22</v>
      </c>
      <c r="D246" s="2" t="s">
        <v>12</v>
      </c>
      <c r="E246" s="2" t="s">
        <v>279</v>
      </c>
      <c r="F246" s="3">
        <v>-0.6</v>
      </c>
      <c r="G246" s="4" t="str">
        <f>HYPERLINK("https://himalayas.app/companies/cresta/jobs/senior-infrastructure-engineer-sre", "Himalayas")</f>
        <v>Himalayas</v>
      </c>
      <c r="H246" s="5">
        <v>46084.0</v>
      </c>
      <c r="I246" s="6"/>
    </row>
    <row r="247">
      <c r="A247" s="2" t="s">
        <v>391</v>
      </c>
      <c r="B247" s="2" t="s">
        <v>21</v>
      </c>
      <c r="C247" s="2" t="s">
        <v>22</v>
      </c>
      <c r="D247" s="2" t="s">
        <v>12</v>
      </c>
      <c r="E247" s="2" t="s">
        <v>279</v>
      </c>
      <c r="F247" s="3">
        <v>-0.6</v>
      </c>
      <c r="G247" s="4" t="str">
        <f>HYPERLINK("https://tr.linkedin.com/jobs/view/senior-software-engineer-games-at-peak-4253394622", "LinkedIn")</f>
        <v>LinkedIn</v>
      </c>
      <c r="H247" s="5">
        <v>46069.0</v>
      </c>
      <c r="I247" s="6"/>
    </row>
    <row r="248">
      <c r="A248" s="2" t="s">
        <v>392</v>
      </c>
      <c r="B248" s="2" t="s">
        <v>393</v>
      </c>
      <c r="C248" s="2" t="s">
        <v>22</v>
      </c>
      <c r="D248" s="2" t="s">
        <v>12</v>
      </c>
      <c r="E248" s="2" t="s">
        <v>279</v>
      </c>
      <c r="F248" s="3">
        <v>-0.6</v>
      </c>
      <c r="G248" s="4" t="str">
        <f>HYPERLINK("https://tr.linkedin.com/jobs/view/senior-c-c%2B%2B-software-developer-at-zenarmor-4368777812", "LinkedIn")</f>
        <v>LinkedIn</v>
      </c>
      <c r="H248" s="5">
        <v>46059.0</v>
      </c>
      <c r="I248" s="6"/>
    </row>
    <row r="249">
      <c r="A249" s="2" t="s">
        <v>394</v>
      </c>
      <c r="B249" s="2" t="s">
        <v>395</v>
      </c>
      <c r="C249" s="2" t="s">
        <v>22</v>
      </c>
      <c r="D249" s="2" t="s">
        <v>12</v>
      </c>
      <c r="E249" s="2" t="s">
        <v>279</v>
      </c>
      <c r="F249" s="3">
        <v>-0.6</v>
      </c>
      <c r="G249" s="4" t="str">
        <f>HYPERLINK("https://tr.linkedin.com/jobs/view/senior-software-engineer-c%23-at-constructor-tech-4365025840", "LinkedIn")</f>
        <v>LinkedIn</v>
      </c>
      <c r="H249" s="5">
        <v>46043.0</v>
      </c>
      <c r="I249" s="6"/>
    </row>
    <row r="250">
      <c r="A250" s="2" t="s">
        <v>396</v>
      </c>
      <c r="B250" s="2" t="s">
        <v>180</v>
      </c>
      <c r="C250" s="2" t="s">
        <v>22</v>
      </c>
      <c r="D250" s="2" t="s">
        <v>12</v>
      </c>
      <c r="E250" s="2" t="s">
        <v>279</v>
      </c>
      <c r="F250" s="3">
        <v>-0.6</v>
      </c>
      <c r="G250" s="4" t="str">
        <f>HYPERLINK("https://tr.linkedin.com/jobs/view/senior-software-developer-net-at-adesso-turkey-4346548930", "LinkedIn")</f>
        <v>LinkedIn</v>
      </c>
      <c r="H250" s="5">
        <v>46048.0</v>
      </c>
      <c r="I250" s="6"/>
    </row>
    <row r="251">
      <c r="A251" s="2" t="s">
        <v>397</v>
      </c>
      <c r="B251" s="2" t="s">
        <v>398</v>
      </c>
      <c r="C251" s="2" t="s">
        <v>22</v>
      </c>
      <c r="D251" s="2" t="s">
        <v>12</v>
      </c>
      <c r="E251" s="2" t="s">
        <v>279</v>
      </c>
      <c r="F251" s="3">
        <v>-0.6</v>
      </c>
      <c r="G251" s="4" t="str">
        <f>HYPERLINK("https://devitjobs.com/jobs/SimVentions-Senior-Software-Developer-Java-Python?utm_campaign=google_jobs_apply&amp;utm_source=google_jobs_apply&amp;utm_medium=organic", "Link")</f>
        <v>Link</v>
      </c>
      <c r="H251" s="5">
        <v>46051.0</v>
      </c>
      <c r="I251" s="6"/>
    </row>
    <row r="252">
      <c r="A252" s="2" t="s">
        <v>399</v>
      </c>
      <c r="B252" s="2" t="s">
        <v>400</v>
      </c>
      <c r="C252" s="2" t="s">
        <v>22</v>
      </c>
      <c r="D252" s="2" t="s">
        <v>12</v>
      </c>
      <c r="E252" s="2" t="s">
        <v>279</v>
      </c>
      <c r="F252" s="3">
        <v>-0.6</v>
      </c>
      <c r="G252" s="4" t="str">
        <f>HYPERLINK("https://www.jobleads.com/us/job/sr-net-c-developer--washington--ec04e4c87d28203f5c9e2236ec19217c8?utm_campaign=google_jobs_apply&amp;utm_source=google_jobs_apply&amp;utm_medium=organic", "Link")</f>
        <v>Link</v>
      </c>
      <c r="H252" s="5">
        <v>46066.0</v>
      </c>
      <c r="I252" s="6"/>
    </row>
    <row r="253">
      <c r="A253" s="2" t="s">
        <v>401</v>
      </c>
      <c r="B253" s="6"/>
      <c r="C253" s="2" t="s">
        <v>83</v>
      </c>
      <c r="D253" s="2" t="s">
        <v>12</v>
      </c>
      <c r="E253" s="2" t="s">
        <v>279</v>
      </c>
      <c r="F253" s="3">
        <v>-0.6</v>
      </c>
      <c r="G253" s="4" t="str">
        <f>HYPERLINK("https://himalayas.app/companies/trustmark-services-company/jobs/senior-director-client-management", "Himalayas")</f>
        <v>Himalayas</v>
      </c>
      <c r="H253" s="5">
        <v>46069.0</v>
      </c>
      <c r="I253" s="6"/>
    </row>
    <row r="254">
      <c r="A254" s="2" t="s">
        <v>402</v>
      </c>
      <c r="B254" s="2" t="s">
        <v>403</v>
      </c>
      <c r="C254" s="2" t="s">
        <v>22</v>
      </c>
      <c r="D254" s="2" t="s">
        <v>12</v>
      </c>
      <c r="E254" s="2" t="s">
        <v>279</v>
      </c>
      <c r="F254" s="3">
        <v>-0.6</v>
      </c>
      <c r="G254" s="4" t="str">
        <f>HYPERLINK("https://www.ziprecruiter.com/c/2K/Job/Principal-Engineer/-in-Sparks,MD?jid=9a14d49ebef7accf&amp;utm_campaign=google_jobs_apply&amp;utm_source=google_jobs_apply&amp;utm_medium=organic", "Link")</f>
        <v>Link</v>
      </c>
      <c r="H254" s="5">
        <v>46050.0</v>
      </c>
      <c r="I254" s="6"/>
    </row>
    <row r="255">
      <c r="A255" s="2" t="s">
        <v>404</v>
      </c>
      <c r="B255" s="2"/>
      <c r="C255" s="2" t="s">
        <v>44</v>
      </c>
      <c r="D255" s="2" t="s">
        <v>41</v>
      </c>
      <c r="E255" s="2" t="s">
        <v>279</v>
      </c>
      <c r="F255" s="3">
        <v>-0.7</v>
      </c>
      <c r="G255" s="4" t="str">
        <f>HYPERLINK("https://himalayas.app/companies/sentara-health/jobs/enrollment-specialist-1", "Himalayas")</f>
        <v>Himalayas</v>
      </c>
      <c r="H255" s="5">
        <v>46084.0</v>
      </c>
      <c r="I255" s="6"/>
    </row>
    <row r="256">
      <c r="A256" s="2" t="s">
        <v>405</v>
      </c>
      <c r="B256" s="2" t="s">
        <v>202</v>
      </c>
      <c r="C256" s="2" t="s">
        <v>44</v>
      </c>
      <c r="D256" s="2" t="s">
        <v>41</v>
      </c>
      <c r="E256" s="2" t="s">
        <v>279</v>
      </c>
      <c r="F256" s="3">
        <v>-0.7</v>
      </c>
      <c r="G256" s="4" t="str">
        <f>HYPERLINK("https://himalayas.app/companies/carrum-health/jobs/customer-care-specialist-work-from-home", "Himalayas")</f>
        <v>Himalayas</v>
      </c>
      <c r="H256" s="5">
        <v>46084.0</v>
      </c>
      <c r="I256" s="6"/>
    </row>
    <row r="257">
      <c r="A257" s="2" t="s">
        <v>406</v>
      </c>
      <c r="B257" s="2" t="s">
        <v>407</v>
      </c>
      <c r="C257" s="2" t="s">
        <v>44</v>
      </c>
      <c r="D257" s="2" t="s">
        <v>18</v>
      </c>
      <c r="E257" s="2" t="s">
        <v>279</v>
      </c>
      <c r="F257" s="3">
        <v>-0.7</v>
      </c>
      <c r="G257" s="4" t="str">
        <f>HYPERLINK("https://tr.linkedin.com/jobs/view/k%C4%B1demli-yaz%C4%B1l%C4%B1m-geli%C5%9Ftirme-uzman%C4%B1-at-ba%C5%9Farsoft-4373105094", "LinkedIn")</f>
        <v>LinkedIn</v>
      </c>
      <c r="H257" s="5">
        <v>46072.0</v>
      </c>
      <c r="I257" s="6"/>
    </row>
    <row r="258">
      <c r="A258" s="2" t="s">
        <v>408</v>
      </c>
      <c r="B258" s="2" t="s">
        <v>70</v>
      </c>
      <c r="C258" s="2" t="s">
        <v>44</v>
      </c>
      <c r="D258" s="2" t="s">
        <v>18</v>
      </c>
      <c r="E258" s="2" t="s">
        <v>279</v>
      </c>
      <c r="F258" s="3">
        <v>-0.7</v>
      </c>
      <c r="G258" s="4" t="str">
        <f>HYPERLINK("https://tr.linkedin.com/jobs/view/test-k%C4%B1demli-uzman%C4%B1-ankara-at-innova-4374882529", "LinkedIn")</f>
        <v>LinkedIn</v>
      </c>
      <c r="H258" s="5">
        <v>46078.0</v>
      </c>
      <c r="I258" s="6"/>
    </row>
    <row r="259">
      <c r="A259" s="2" t="s">
        <v>409</v>
      </c>
      <c r="B259" s="2"/>
      <c r="C259" s="2" t="s">
        <v>44</v>
      </c>
      <c r="D259" s="2" t="s">
        <v>41</v>
      </c>
      <c r="E259" s="2" t="s">
        <v>279</v>
      </c>
      <c r="F259" s="3">
        <v>-0.7</v>
      </c>
      <c r="G259" s="4" t="str">
        <f>HYPERLINK("https://himalayas.app/companies/fusion-consulting/jobs/senior-it-infrastructure-project-manager-security-certificate-automation-ia", "Himalayas")</f>
        <v>Himalayas</v>
      </c>
      <c r="H259" s="5">
        <v>46084.0</v>
      </c>
      <c r="I259" s="6"/>
    </row>
    <row r="260">
      <c r="A260" s="2" t="s">
        <v>410</v>
      </c>
      <c r="B260" s="6"/>
      <c r="C260" s="2" t="s">
        <v>44</v>
      </c>
      <c r="D260" s="2" t="s">
        <v>41</v>
      </c>
      <c r="E260" s="2" t="s">
        <v>279</v>
      </c>
      <c r="F260" s="3">
        <v>-0.7</v>
      </c>
      <c r="G260" s="4" t="str">
        <f>HYPERLINK("https://himalayas.app/companies/evolution-sports-group/jobs/remote-property-customer-support-administration-specialist-19", "Himalayas")</f>
        <v>Himalayas</v>
      </c>
      <c r="H260" s="5">
        <v>46069.0</v>
      </c>
      <c r="I260" s="6"/>
    </row>
    <row r="261">
      <c r="A261" s="2" t="s">
        <v>411</v>
      </c>
      <c r="B261" s="2" t="s">
        <v>412</v>
      </c>
      <c r="C261" s="2" t="s">
        <v>44</v>
      </c>
      <c r="D261" s="2" t="s">
        <v>41</v>
      </c>
      <c r="E261" s="2" t="s">
        <v>279</v>
      </c>
      <c r="F261" s="3">
        <v>-0.7</v>
      </c>
      <c r="G261" s="4" t="str">
        <f>HYPERLINK("https://himalayas.app/companies/fidelity-investments/jobs/client-support-specialist-greater-philadelphia-pa-area-38", "Himalayas")</f>
        <v>Himalayas</v>
      </c>
      <c r="H261" s="5">
        <v>46069.0</v>
      </c>
      <c r="I261" s="6"/>
    </row>
    <row r="262">
      <c r="A262" s="2" t="s">
        <v>413</v>
      </c>
      <c r="B262" s="6"/>
      <c r="C262" s="2" t="s">
        <v>44</v>
      </c>
      <c r="D262" s="2" t="s">
        <v>41</v>
      </c>
      <c r="E262" s="2" t="s">
        <v>279</v>
      </c>
      <c r="F262" s="3">
        <v>-0.7</v>
      </c>
      <c r="G262" s="4" t="str">
        <f>HYPERLINK("https://himalayas.app/companies/careers/jobs/avp-senior-broker-commercial-lines-charlotte-or-remote-35", "Himalayas")</f>
        <v>Himalayas</v>
      </c>
      <c r="H262" s="5">
        <v>46069.0</v>
      </c>
      <c r="I262" s="6"/>
    </row>
    <row r="263">
      <c r="A263" s="2" t="s">
        <v>414</v>
      </c>
      <c r="B263" s="2" t="s">
        <v>415</v>
      </c>
      <c r="C263" s="2" t="s">
        <v>44</v>
      </c>
      <c r="D263" s="2" t="s">
        <v>41</v>
      </c>
      <c r="E263" s="2" t="s">
        <v>279</v>
      </c>
      <c r="F263" s="3">
        <v>-0.7</v>
      </c>
      <c r="G263" s="4" t="str">
        <f>HYPERLINK("https://himalayas.app/companies/turbotax/jobs/turbotax-product-specialist-wfh-certification-bonus-included-60472", "Himalayas")</f>
        <v>Himalayas</v>
      </c>
      <c r="H263" s="5">
        <v>46069.0</v>
      </c>
      <c r="I263" s="6"/>
    </row>
    <row r="264">
      <c r="A264" s="2" t="s">
        <v>416</v>
      </c>
      <c r="B264" s="2" t="s">
        <v>417</v>
      </c>
      <c r="C264" s="2" t="s">
        <v>44</v>
      </c>
      <c r="D264" s="2" t="s">
        <v>41</v>
      </c>
      <c r="E264" s="2" t="s">
        <v>279</v>
      </c>
      <c r="F264" s="3">
        <v>-0.7</v>
      </c>
      <c r="G264" s="4" t="str">
        <f>HYPERLINK("https://himalayas.app/companies/turbotax/jobs/product-support-specialist-remote-opportunity-63017", "Himalayas")</f>
        <v>Himalayas</v>
      </c>
      <c r="H264" s="5">
        <v>46069.0</v>
      </c>
      <c r="I264" s="6"/>
    </row>
    <row r="265">
      <c r="A265" s="2" t="s">
        <v>418</v>
      </c>
      <c r="B265" s="6"/>
      <c r="C265" s="2" t="s">
        <v>44</v>
      </c>
      <c r="D265" s="2" t="s">
        <v>41</v>
      </c>
      <c r="E265" s="2" t="s">
        <v>279</v>
      </c>
      <c r="F265" s="3">
        <v>-0.7</v>
      </c>
      <c r="G265" s="4" t="str">
        <f>HYPERLINK("https://himalayas.app/companies/turbotax/jobs/turbotax-product-specialist-work-from-home-60106", "Himalayas")</f>
        <v>Himalayas</v>
      </c>
      <c r="H265" s="5">
        <v>46069.0</v>
      </c>
      <c r="I265" s="6"/>
    </row>
    <row r="266">
      <c r="A266" s="2" t="s">
        <v>419</v>
      </c>
      <c r="B266" s="2" t="s">
        <v>420</v>
      </c>
      <c r="C266" s="2" t="s">
        <v>44</v>
      </c>
      <c r="D266" s="2" t="s">
        <v>41</v>
      </c>
      <c r="E266" s="2" t="s">
        <v>279</v>
      </c>
      <c r="F266" s="3">
        <v>-0.7</v>
      </c>
      <c r="G266" s="4" t="str">
        <f>HYPERLINK("https://himalayas.app/companies/turbotax/jobs/work-from-home-turbotax-product-expert-certification-bonus-60007", "Himalayas")</f>
        <v>Himalayas</v>
      </c>
      <c r="H266" s="5">
        <v>46069.0</v>
      </c>
      <c r="I266" s="6"/>
    </row>
    <row r="267">
      <c r="A267" s="2" t="s">
        <v>421</v>
      </c>
      <c r="B267" s="2" t="s">
        <v>422</v>
      </c>
      <c r="C267" s="2" t="s">
        <v>44</v>
      </c>
      <c r="D267" s="2" t="s">
        <v>41</v>
      </c>
      <c r="E267" s="2" t="s">
        <v>279</v>
      </c>
      <c r="F267" s="3">
        <v>-0.7</v>
      </c>
      <c r="G267" s="4" t="str">
        <f>HYPERLINK("https://himalayas.app/companies/turbotax/jobs/work-from-home-turbotax-product-expert-no-tax-experience-required-60443", "Himalayas")</f>
        <v>Himalayas</v>
      </c>
      <c r="H267" s="5">
        <v>46069.0</v>
      </c>
      <c r="I267" s="6"/>
    </row>
    <row r="268">
      <c r="A268" s="2" t="s">
        <v>423</v>
      </c>
      <c r="B268" s="2" t="s">
        <v>424</v>
      </c>
      <c r="C268" s="2" t="s">
        <v>44</v>
      </c>
      <c r="D268" s="2" t="s">
        <v>41</v>
      </c>
      <c r="E268" s="2" t="s">
        <v>279</v>
      </c>
      <c r="F268" s="3">
        <v>-0.7</v>
      </c>
      <c r="G268" s="4" t="str">
        <f>HYPERLINK("https://himalayas.app/companies/turbotax/jobs/work-from-home-turbotax-product-expert-no-tax-experience-required-46034", "Himalayas")</f>
        <v>Himalayas</v>
      </c>
      <c r="H268" s="5">
        <v>46069.0</v>
      </c>
      <c r="I268" s="6"/>
    </row>
    <row r="269">
      <c r="A269" s="2" t="s">
        <v>425</v>
      </c>
      <c r="B269" s="2" t="s">
        <v>426</v>
      </c>
      <c r="C269" s="2" t="s">
        <v>44</v>
      </c>
      <c r="D269" s="2" t="s">
        <v>41</v>
      </c>
      <c r="E269" s="2" t="s">
        <v>279</v>
      </c>
      <c r="F269" s="3">
        <v>-0.7</v>
      </c>
      <c r="G269" s="4" t="str">
        <f>HYPERLINK("https://himalayas.app/companies/turbotax/jobs/work-from-home-turbotax-product-expert-no-tax-experience-required-37014", "Himalayas")</f>
        <v>Himalayas</v>
      </c>
      <c r="H269" s="5">
        <v>46069.0</v>
      </c>
      <c r="I269" s="6"/>
    </row>
    <row r="270">
      <c r="A270" s="2" t="s">
        <v>427</v>
      </c>
      <c r="B270" s="2" t="s">
        <v>428</v>
      </c>
      <c r="C270" s="2" t="s">
        <v>44</v>
      </c>
      <c r="D270" s="2" t="s">
        <v>41</v>
      </c>
      <c r="E270" s="2" t="s">
        <v>279</v>
      </c>
      <c r="F270" s="3">
        <v>-0.7</v>
      </c>
      <c r="G270" s="4" t="str">
        <f>HYPERLINK("https://himalayas.app/companies/bath-concepts-independent-dealers/jobs/remote-senior-payroll-administrative", "Himalayas")</f>
        <v>Himalayas</v>
      </c>
      <c r="H270" s="5">
        <v>46069.0</v>
      </c>
      <c r="I270" s="6"/>
    </row>
    <row r="271">
      <c r="A271" s="2" t="s">
        <v>429</v>
      </c>
      <c r="B271" s="2" t="s">
        <v>430</v>
      </c>
      <c r="C271" s="2" t="s">
        <v>44</v>
      </c>
      <c r="D271" s="2" t="s">
        <v>41</v>
      </c>
      <c r="E271" s="2" t="s">
        <v>279</v>
      </c>
      <c r="F271" s="3">
        <v>-0.7</v>
      </c>
      <c r="G271" s="4" t="str">
        <f>HYPERLINK("https://himalayas.app/companies/turbotax/jobs/work-from-home-turbotax-product-expert-no-tax-experience-required-46176", "Himalayas")</f>
        <v>Himalayas</v>
      </c>
      <c r="H271" s="5">
        <v>46069.0</v>
      </c>
      <c r="I271" s="6"/>
    </row>
    <row r="272">
      <c r="A272" s="2" t="s">
        <v>431</v>
      </c>
      <c r="B272" s="2" t="s">
        <v>432</v>
      </c>
      <c r="C272" s="2" t="s">
        <v>44</v>
      </c>
      <c r="D272" s="2" t="s">
        <v>41</v>
      </c>
      <c r="E272" s="2" t="s">
        <v>279</v>
      </c>
      <c r="F272" s="3">
        <v>-0.7</v>
      </c>
      <c r="G272" s="4" t="str">
        <f>HYPERLINK("https://himalayas.app/companies/turbotax/jobs/product-support-specialist-remote-opportunity-78234", "Himalayas")</f>
        <v>Himalayas</v>
      </c>
      <c r="H272" s="5">
        <v>46069.0</v>
      </c>
      <c r="I272" s="6"/>
    </row>
    <row r="273">
      <c r="A273" s="2" t="s">
        <v>433</v>
      </c>
      <c r="B273" s="2" t="s">
        <v>434</v>
      </c>
      <c r="C273" s="2" t="s">
        <v>44</v>
      </c>
      <c r="D273" s="2" t="s">
        <v>41</v>
      </c>
      <c r="E273" s="2" t="s">
        <v>279</v>
      </c>
      <c r="F273" s="3">
        <v>-0.7</v>
      </c>
      <c r="G273" s="4" t="str">
        <f>HYPERLINK("https://himalayas.app/companies/turbotax/jobs/remote-customer-support-specialist-choose-your-schedule-37179", "Himalayas")</f>
        <v>Himalayas</v>
      </c>
      <c r="H273" s="5">
        <v>46069.0</v>
      </c>
      <c r="I273" s="6"/>
    </row>
    <row r="274">
      <c r="A274" s="2" t="s">
        <v>435</v>
      </c>
      <c r="B274" s="2" t="s">
        <v>436</v>
      </c>
      <c r="C274" s="2" t="s">
        <v>63</v>
      </c>
      <c r="D274" s="2" t="s">
        <v>12</v>
      </c>
      <c r="E274" s="2" t="s">
        <v>279</v>
      </c>
      <c r="F274" s="3">
        <v>-0.9</v>
      </c>
      <c r="G274" s="4" t="str">
        <f>HYPERLINK("https://lensa.com/job-v1/peak-technical-staffing-usa/washington-dc/senior-c-developer/7ae49a46d84bc8790e78b4036e8bfe03?utm_campaign=google_jobs_apply&amp;utm_source=google_jobs_apply&amp;utm_medium=organic", "Link")</f>
        <v>Link</v>
      </c>
      <c r="H274" s="5">
        <v>46079.0</v>
      </c>
      <c r="I274" s="6"/>
    </row>
    <row r="275">
      <c r="A275" s="2" t="s">
        <v>437</v>
      </c>
      <c r="B275" s="6"/>
      <c r="C275" s="2" t="s">
        <v>100</v>
      </c>
      <c r="D275" s="2" t="s">
        <v>12</v>
      </c>
      <c r="E275" s="2" t="s">
        <v>279</v>
      </c>
      <c r="F275" s="3">
        <v>-0.9</v>
      </c>
      <c r="G275" s="4" t="str">
        <f>HYPERLINK("https://himalayas.app/companies/rapid7/jobs/senior-security-solutions-engineer-8795327212", "Himalayas")</f>
        <v>Himalayas</v>
      </c>
      <c r="H275" s="5">
        <v>46084.0</v>
      </c>
      <c r="I275" s="6"/>
    </row>
    <row r="276">
      <c r="A276" s="2" t="s">
        <v>438</v>
      </c>
      <c r="B276" s="2" t="s">
        <v>439</v>
      </c>
      <c r="C276" s="2" t="s">
        <v>63</v>
      </c>
      <c r="D276" s="2" t="s">
        <v>12</v>
      </c>
      <c r="E276" s="2" t="s">
        <v>279</v>
      </c>
      <c r="F276" s="3">
        <v>-0.9</v>
      </c>
      <c r="G276" s="4" t="str">
        <f>HYPERLINK("https://tr.linkedin.com/jobs/view/senior-frontend-developer-games-at-jobgether-4378698258", "LinkedIn")</f>
        <v>LinkedIn</v>
      </c>
      <c r="H276" s="5">
        <v>46080.0</v>
      </c>
      <c r="I276" s="6"/>
    </row>
    <row r="277">
      <c r="A277" s="2" t="s">
        <v>440</v>
      </c>
      <c r="B277" s="2" t="s">
        <v>441</v>
      </c>
      <c r="C277" s="2" t="s">
        <v>100</v>
      </c>
      <c r="D277" s="2" t="s">
        <v>12</v>
      </c>
      <c r="E277" s="2" t="s">
        <v>279</v>
      </c>
      <c r="F277" s="3">
        <v>-0.9</v>
      </c>
      <c r="G277" s="4" t="str">
        <f>HYPERLINK("https://tr.linkedin.com/jobs/view/senior-backend-developer-payments-at-depixen-4374567709", "LinkedIn")</f>
        <v>LinkedIn</v>
      </c>
      <c r="H277" s="5">
        <v>46077.0</v>
      </c>
      <c r="I277" s="6"/>
    </row>
    <row r="278">
      <c r="A278" s="2" t="s">
        <v>442</v>
      </c>
      <c r="B278" s="2" t="s">
        <v>443</v>
      </c>
      <c r="C278" s="2" t="s">
        <v>63</v>
      </c>
      <c r="D278" s="2" t="s">
        <v>12</v>
      </c>
      <c r="E278" s="2" t="s">
        <v>279</v>
      </c>
      <c r="F278" s="3">
        <v>-0.9</v>
      </c>
      <c r="G278" s="4" t="str">
        <f>HYPERLINK("https://www.roberthalf.com/us/en/job/washington-dc/senior-c-developer/04837-0013379170-usen?utm_campaign=google_jobs_apply&amp;utm_source=google_jobs_apply&amp;utm_medium=organic", "Link")</f>
        <v>Link</v>
      </c>
      <c r="H278" s="5">
        <v>46060.0</v>
      </c>
      <c r="I278" s="6"/>
    </row>
    <row r="279">
      <c r="A279" s="2" t="s">
        <v>444</v>
      </c>
      <c r="B279" s="2" t="s">
        <v>445</v>
      </c>
      <c r="C279" s="2" t="s">
        <v>100</v>
      </c>
      <c r="D279" s="2" t="s">
        <v>12</v>
      </c>
      <c r="E279" s="2" t="s">
        <v>279</v>
      </c>
      <c r="F279" s="3">
        <v>-0.9</v>
      </c>
      <c r="G279" s="4" t="str">
        <f>HYPERLINK("https://tr.linkedin.com/jobs/view/senior-developer-backend-at-turkcell-4364559006", "LinkedIn")</f>
        <v>LinkedIn</v>
      </c>
      <c r="H279" s="5">
        <v>46069.0</v>
      </c>
      <c r="I279" s="6"/>
    </row>
    <row r="280">
      <c r="A280" s="2" t="s">
        <v>446</v>
      </c>
      <c r="B280" s="2" t="s">
        <v>447</v>
      </c>
      <c r="C280" s="2" t="s">
        <v>100</v>
      </c>
      <c r="D280" s="2" t="s">
        <v>12</v>
      </c>
      <c r="E280" s="2" t="s">
        <v>279</v>
      </c>
      <c r="F280" s="3">
        <v>-0.9</v>
      </c>
      <c r="G280" s="4" t="str">
        <f>HYPERLINK("https://www.indeed.com/viewjob?jk=1469039cf8459647&amp;utm_campaign=google_jobs_apply&amp;utm_source=google_jobs_apply&amp;utm_medium=organic", "Indeed")</f>
        <v>Indeed</v>
      </c>
      <c r="H280" s="7"/>
      <c r="I280" s="6"/>
    </row>
    <row r="281">
      <c r="A281" s="2" t="s">
        <v>448</v>
      </c>
      <c r="B281" s="6"/>
      <c r="C281" s="2" t="s">
        <v>63</v>
      </c>
      <c r="D281" s="2" t="s">
        <v>12</v>
      </c>
      <c r="E281" s="2" t="s">
        <v>279</v>
      </c>
      <c r="F281" s="3">
        <v>-0.9</v>
      </c>
      <c r="G281" s="4" t="str">
        <f>HYPERLINK("https://himalayas.app/companies/concentrix/jobs/senior-salesforce-developer-agentforce", "Himalayas")</f>
        <v>Himalayas</v>
      </c>
      <c r="H281" s="5">
        <v>46069.0</v>
      </c>
      <c r="I281" s="6"/>
    </row>
    <row r="282">
      <c r="A282" s="2" t="s">
        <v>449</v>
      </c>
      <c r="B282" s="2" t="s">
        <v>450</v>
      </c>
      <c r="C282" s="2" t="s">
        <v>100</v>
      </c>
      <c r="D282" s="2" t="s">
        <v>12</v>
      </c>
      <c r="E282" s="2" t="s">
        <v>279</v>
      </c>
      <c r="F282" s="3">
        <v>-0.9</v>
      </c>
      <c r="G282" s="4" t="str">
        <f>HYPERLINK("https://himalayas.app/companies/truelogic-io/jobs/senior-full-stack-engineer-back-end-focus-software-4603987121", "Himalayas")</f>
        <v>Himalayas</v>
      </c>
      <c r="H282" s="5">
        <v>46069.0</v>
      </c>
      <c r="I282" s="6"/>
    </row>
    <row r="283">
      <c r="A283" s="2" t="s">
        <v>451</v>
      </c>
      <c r="B283" s="2" t="s">
        <v>153</v>
      </c>
      <c r="C283" s="2" t="s">
        <v>17</v>
      </c>
      <c r="D283" s="2" t="s">
        <v>12</v>
      </c>
      <c r="E283" s="2" t="s">
        <v>279</v>
      </c>
      <c r="F283" s="3">
        <v>-1.2</v>
      </c>
      <c r="G283" s="4" t="str">
        <f>HYPERLINK("https://talents.vaia.com/companies/epic-games/senior-gameplay-ai-programmer-uefn-37121773/?utm_campaign=google_jobs_apply&amp;utm_source=google_jobs_apply&amp;utm_medium=organic", "Link")</f>
        <v>Link</v>
      </c>
      <c r="H283" s="5">
        <v>46069.0</v>
      </c>
      <c r="I283" s="6"/>
    </row>
    <row r="284">
      <c r="A284" s="2" t="s">
        <v>452</v>
      </c>
      <c r="B284" s="2" t="s">
        <v>453</v>
      </c>
      <c r="C284" s="2" t="s">
        <v>17</v>
      </c>
      <c r="D284" s="2" t="s">
        <v>12</v>
      </c>
      <c r="E284" s="2" t="s">
        <v>279</v>
      </c>
      <c r="F284" s="3">
        <v>-1.2</v>
      </c>
      <c r="G284" s="4" t="str">
        <f>HYPERLINK("https://tr.linkedin.com/jobs/view/k%C4%B1demli-axap-yaz%C4%B1l%C4%B1m-uzman%C4%B1-at-cengiz-holding-4370537385", "LinkedIn")</f>
        <v>LinkedIn</v>
      </c>
      <c r="H284" s="5">
        <v>46085.0</v>
      </c>
      <c r="I284" s="6"/>
    </row>
    <row r="285">
      <c r="A285" s="2" t="s">
        <v>454</v>
      </c>
      <c r="B285" s="2" t="s">
        <v>455</v>
      </c>
      <c r="C285" s="2" t="s">
        <v>17</v>
      </c>
      <c r="D285" s="2" t="s">
        <v>12</v>
      </c>
      <c r="E285" s="2" t="s">
        <v>279</v>
      </c>
      <c r="F285" s="3">
        <v>-1.2</v>
      </c>
      <c r="G285" s="4" t="str">
        <f>HYPERLINK("https://tr.linkedin.com/jobs/view/k%C4%B1demli-yaz%C4%B1l%C4%B1m-geli%C5%9Ftirme-m%C3%BChendisi-at-tatilsepeti-4375206709", "LinkedIn")</f>
        <v>LinkedIn</v>
      </c>
      <c r="H285" s="5">
        <v>46078.0</v>
      </c>
      <c r="I285" s="6"/>
    </row>
    <row r="286">
      <c r="A286" s="2" t="s">
        <v>456</v>
      </c>
      <c r="B286" s="6"/>
      <c r="C286" s="2" t="s">
        <v>22</v>
      </c>
      <c r="D286" s="2" t="s">
        <v>41</v>
      </c>
      <c r="E286" s="2" t="s">
        <v>457</v>
      </c>
      <c r="F286" s="3">
        <v>-1.3</v>
      </c>
      <c r="G286" s="4" t="str">
        <f>HYPERLINK("https://himalayas.app/companies/booz-allen-hamilton/jobs/remote-sensing-software-engineering-manager", "Himalayas")</f>
        <v>Himalayas</v>
      </c>
      <c r="H286" s="5">
        <v>46084.0</v>
      </c>
      <c r="I286" s="6"/>
    </row>
    <row r="287">
      <c r="A287" s="2" t="s">
        <v>458</v>
      </c>
      <c r="B287" s="2" t="s">
        <v>407</v>
      </c>
      <c r="C287" s="2" t="s">
        <v>37</v>
      </c>
      <c r="D287" s="2" t="s">
        <v>18</v>
      </c>
      <c r="E287" s="2" t="s">
        <v>457</v>
      </c>
      <c r="F287" s="3">
        <v>-1.3</v>
      </c>
      <c r="G287" s="4" t="str">
        <f>HYPERLINK("https://tr.linkedin.com/jobs/view/yapay-zeka-yaz%C4%B1l%C4%B1m-geli%C5%9Ftirme-tak%C4%B1m-lideri-at-ba%C5%9Farsoft-4364471357", "LinkedIn")</f>
        <v>LinkedIn</v>
      </c>
      <c r="H287" s="5">
        <v>46066.0</v>
      </c>
      <c r="I287" s="6"/>
    </row>
    <row r="288">
      <c r="A288" s="2" t="s">
        <v>459</v>
      </c>
      <c r="B288" s="2" t="s">
        <v>460</v>
      </c>
      <c r="C288" s="2" t="s">
        <v>44</v>
      </c>
      <c r="D288" s="2" t="s">
        <v>12</v>
      </c>
      <c r="E288" s="2" t="s">
        <v>279</v>
      </c>
      <c r="F288" s="3">
        <v>-1.5</v>
      </c>
      <c r="G288" s="4" t="str">
        <f>HYPERLINK("https://tr.linkedin.com/jobs/view/senior-spine-animator-forever-franchise-gaming-at-homa-4378827475", "LinkedIn")</f>
        <v>LinkedIn</v>
      </c>
      <c r="H288" s="5">
        <v>46083.0</v>
      </c>
      <c r="I288" s="6"/>
    </row>
    <row r="289">
      <c r="A289" s="2" t="s">
        <v>461</v>
      </c>
      <c r="B289" s="2" t="s">
        <v>462</v>
      </c>
      <c r="C289" s="2" t="s">
        <v>44</v>
      </c>
      <c r="D289" s="2" t="s">
        <v>12</v>
      </c>
      <c r="E289" s="2" t="s">
        <v>279</v>
      </c>
      <c r="F289" s="3">
        <v>-1.5</v>
      </c>
      <c r="G289" s="4" t="str">
        <f>HYPERLINK("https://tr.linkedin.com/jobs/view/yaz%C4%B1l%C4%B1m-geli%C5%9Ftirme-k%C4%B1demli-uzman%C4%B1-at-ck-enerji-4375522630", "LinkedIn")</f>
        <v>LinkedIn</v>
      </c>
      <c r="H289" s="5">
        <v>46079.0</v>
      </c>
      <c r="I289" s="6"/>
    </row>
    <row r="290">
      <c r="A290" s="2" t="s">
        <v>406</v>
      </c>
      <c r="B290" s="2" t="s">
        <v>463</v>
      </c>
      <c r="C290" s="2" t="s">
        <v>44</v>
      </c>
      <c r="D290" s="2" t="s">
        <v>12</v>
      </c>
      <c r="E290" s="2" t="s">
        <v>279</v>
      </c>
      <c r="F290" s="3">
        <v>-1.5</v>
      </c>
      <c r="G290" s="4" t="str">
        <f>HYPERLINK("https://tr.linkedin.com/jobs/view/k%C4%B1demli-yaz%C4%B1l%C4%B1m-geli%C5%9Ftirme-uzman%C4%B1-at-logo-yaz%C4%B1l%C4%B1m-4378180643", "LinkedIn")</f>
        <v>LinkedIn</v>
      </c>
      <c r="H290" s="5">
        <v>46084.0</v>
      </c>
      <c r="I290" s="6"/>
    </row>
    <row r="291">
      <c r="A291" s="2" t="s">
        <v>406</v>
      </c>
      <c r="B291" s="2" t="s">
        <v>464</v>
      </c>
      <c r="C291" s="2" t="s">
        <v>44</v>
      </c>
      <c r="D291" s="2" t="s">
        <v>12</v>
      </c>
      <c r="E291" s="2" t="s">
        <v>279</v>
      </c>
      <c r="F291" s="3">
        <v>-1.5</v>
      </c>
      <c r="G291" s="4" t="str">
        <f>HYPERLINK("https://tr.linkedin.com/jobs/view/k%C4%B1demli-yaz%C4%B1l%C4%B1m-geli%C5%9Ftirme-uzman%C4%B1-at-eksim-holding-4371909510", "LinkedIn")</f>
        <v>LinkedIn</v>
      </c>
      <c r="H291" s="5">
        <v>46069.0</v>
      </c>
      <c r="I291" s="6"/>
    </row>
    <row r="292">
      <c r="A292" s="2" t="s">
        <v>465</v>
      </c>
      <c r="B292" s="2" t="s">
        <v>466</v>
      </c>
      <c r="C292" s="2" t="s">
        <v>44</v>
      </c>
      <c r="D292" s="2" t="s">
        <v>12</v>
      </c>
      <c r="E292" s="2" t="s">
        <v>279</v>
      </c>
      <c r="F292" s="3">
        <v>-1.5</v>
      </c>
      <c r="G292" s="4" t="str">
        <f>HYPERLINK("https://tr.linkedin.com/jobs/view/c%23-yaz%C4%B1l%C4%B1m-k%C4%B1demli-uzman%C4%B1-at-y%C4%B1ld%C4%B1zlar-yat%C4%B1r%C4%B1m-holding-4354858187", "LinkedIn")</f>
        <v>LinkedIn</v>
      </c>
      <c r="H292" s="5">
        <v>46084.0</v>
      </c>
      <c r="I292" s="6"/>
    </row>
    <row r="293">
      <c r="A293" s="2" t="s">
        <v>467</v>
      </c>
      <c r="B293" s="2" t="s">
        <v>468</v>
      </c>
      <c r="C293" s="2" t="s">
        <v>44</v>
      </c>
      <c r="D293" s="2" t="s">
        <v>12</v>
      </c>
      <c r="E293" s="2" t="s">
        <v>279</v>
      </c>
      <c r="F293" s="3">
        <v>-1.5</v>
      </c>
      <c r="G293" s="4" t="str">
        <f>HYPERLINK("https://tr.linkedin.com/jobs/view/yaz%C4%B1l%C4%B1m-geli%C5%9Ftirme-ve-end%C3%BCstriyel-uygulamalar-k%C4%B1demli-uzman%C4%B1-at-assan-bili%C5%9Fim-4369025612", "LinkedIn")</f>
        <v>LinkedIn</v>
      </c>
      <c r="H293" s="5">
        <v>46057.0</v>
      </c>
      <c r="I293" s="6"/>
    </row>
    <row r="294">
      <c r="A294" s="2" t="s">
        <v>469</v>
      </c>
      <c r="B294" s="6"/>
      <c r="C294" s="2" t="s">
        <v>44</v>
      </c>
      <c r="D294" s="2" t="s">
        <v>12</v>
      </c>
      <c r="E294" s="2" t="s">
        <v>279</v>
      </c>
      <c r="F294" s="3">
        <v>-1.5</v>
      </c>
      <c r="G294" s="4" t="str">
        <f>HYPERLINK("https://himalayas.app/companies/trane-technologies/jobs/ductless-technical-specialist", "Himalayas")</f>
        <v>Himalayas</v>
      </c>
      <c r="H294" s="5">
        <v>46084.0</v>
      </c>
      <c r="I294" s="6"/>
    </row>
    <row r="295">
      <c r="A295" s="2" t="s">
        <v>470</v>
      </c>
      <c r="B295" s="2" t="s">
        <v>471</v>
      </c>
      <c r="C295" s="2" t="s">
        <v>88</v>
      </c>
      <c r="D295" s="2" t="s">
        <v>18</v>
      </c>
      <c r="E295" s="2" t="s">
        <v>457</v>
      </c>
      <c r="F295" s="3">
        <v>-1.6</v>
      </c>
      <c r="G295" s="4" t="str">
        <f>HYPERLINK("https://tr.linkedin.com/jobs/view/tech-lead-android-core-product-ankara-turkey-at-speechify-4373869527", "LinkedIn")</f>
        <v>LinkedIn</v>
      </c>
      <c r="H295" s="5">
        <v>46069.0</v>
      </c>
      <c r="I295" s="6"/>
    </row>
    <row r="296">
      <c r="A296" s="2" t="s">
        <v>472</v>
      </c>
      <c r="B296" s="2" t="s">
        <v>473</v>
      </c>
      <c r="C296" s="2" t="s">
        <v>11</v>
      </c>
      <c r="D296" s="2" t="s">
        <v>12</v>
      </c>
      <c r="E296" s="2" t="s">
        <v>457</v>
      </c>
      <c r="F296" s="3">
        <v>-1.8</v>
      </c>
      <c r="G296" s="4" t="str">
        <f>HYPERLINK("https://www.learn4good.com/jobs/maryland/software_development/4850995768/e/?utm_campaign=google_jobs_apply&amp;utm_source=google_jobs_apply&amp;utm_medium=organic", "Link")</f>
        <v>Link</v>
      </c>
      <c r="H296" s="5">
        <v>46058.0</v>
      </c>
      <c r="I296" s="6"/>
    </row>
    <row r="297">
      <c r="A297" s="2" t="s">
        <v>474</v>
      </c>
      <c r="B297" s="2" t="s">
        <v>475</v>
      </c>
      <c r="C297" s="2" t="s">
        <v>11</v>
      </c>
      <c r="D297" s="2" t="s">
        <v>12</v>
      </c>
      <c r="E297" s="2" t="s">
        <v>457</v>
      </c>
      <c r="F297" s="3">
        <v>-1.8</v>
      </c>
      <c r="G297" s="4" t="str">
        <f>HYPERLINK("https://jooble.org/jdp/-7471011490816227116?utm_campaign=google_jobs_apply&amp;utm_source=google_jobs_apply&amp;utm_medium=organic", "Link")</f>
        <v>Link</v>
      </c>
      <c r="H297" s="5">
        <v>46061.0</v>
      </c>
      <c r="I297" s="6"/>
    </row>
    <row r="298">
      <c r="A298" s="2" t="s">
        <v>476</v>
      </c>
      <c r="B298" s="2" t="s">
        <v>477</v>
      </c>
      <c r="C298" s="2" t="s">
        <v>22</v>
      </c>
      <c r="D298" s="2" t="s">
        <v>44</v>
      </c>
      <c r="E298" s="2" t="s">
        <v>279</v>
      </c>
      <c r="F298" s="3">
        <v>-1.8</v>
      </c>
      <c r="G298" s="4" t="str">
        <f>HYPERLINK("https://www.indeed.com/viewjob?jk=d2a15eccaffbaa48&amp;utm_campaign=google_jobs_apply&amp;utm_source=google_jobs_apply&amp;utm_medium=organic", "Indeed")</f>
        <v>Indeed</v>
      </c>
      <c r="H298" s="5">
        <v>46064.0</v>
      </c>
      <c r="I298" s="6"/>
    </row>
    <row r="299">
      <c r="A299" s="2" t="s">
        <v>478</v>
      </c>
      <c r="B299" s="2" t="s">
        <v>385</v>
      </c>
      <c r="C299" s="2" t="s">
        <v>22</v>
      </c>
      <c r="D299" s="2" t="s">
        <v>44</v>
      </c>
      <c r="E299" s="2" t="s">
        <v>279</v>
      </c>
      <c r="F299" s="3">
        <v>-1.8</v>
      </c>
      <c r="G299" s="4" t="str">
        <f>HYPERLINK("https://www.indeed.com/viewjob?jk=59ab40d30b2c2692&amp;utm_campaign=google_jobs_apply&amp;utm_source=google_jobs_apply&amp;utm_medium=organic", "Indeed")</f>
        <v>Indeed</v>
      </c>
      <c r="H299" s="5">
        <v>46048.0</v>
      </c>
      <c r="I299" s="6"/>
    </row>
    <row r="300">
      <c r="A300" s="2" t="s">
        <v>479</v>
      </c>
      <c r="B300" s="2" t="s">
        <v>480</v>
      </c>
      <c r="C300" s="2" t="s">
        <v>22</v>
      </c>
      <c r="D300" s="2" t="s">
        <v>44</v>
      </c>
      <c r="E300" s="2" t="s">
        <v>279</v>
      </c>
      <c r="F300" s="3">
        <v>-1.8</v>
      </c>
      <c r="G300" s="4" t="str">
        <f>HYPERLINK("https://www.linkedin.com/jobs/view/senior-c%23-net-developer-at-lendingpad-4369613109?utm_campaign=google_jobs_apply&amp;utm_source=google_jobs_apply&amp;utm_medium=organic", "LinkedIn")</f>
        <v>LinkedIn</v>
      </c>
      <c r="H300" s="5">
        <v>46058.0</v>
      </c>
      <c r="I300" s="6"/>
    </row>
    <row r="301">
      <c r="A301" s="2" t="s">
        <v>481</v>
      </c>
      <c r="B301" s="2" t="s">
        <v>482</v>
      </c>
      <c r="C301" s="2" t="s">
        <v>37</v>
      </c>
      <c r="D301" s="2" t="s">
        <v>44</v>
      </c>
      <c r="E301" s="2" t="s">
        <v>279</v>
      </c>
      <c r="F301" s="3">
        <v>-1.8</v>
      </c>
      <c r="G301" s="4" t="str">
        <f>HYPERLINK("https://himalayas.app/companies/ista-personnel-solutions/jobs/financial-reporting-automation-specialist-excel-focused-est-hours", "Himalayas")</f>
        <v>Himalayas</v>
      </c>
      <c r="H301" s="5">
        <v>46069.0</v>
      </c>
      <c r="I301" s="6"/>
    </row>
    <row r="302">
      <c r="A302" s="2" t="s">
        <v>483</v>
      </c>
      <c r="B302" s="6"/>
      <c r="C302" s="2" t="s">
        <v>37</v>
      </c>
      <c r="D302" s="2" t="s">
        <v>44</v>
      </c>
      <c r="E302" s="2" t="s">
        <v>279</v>
      </c>
      <c r="F302" s="3">
        <v>-1.8</v>
      </c>
      <c r="G302" s="4" t="str">
        <f>HYPERLINK("https://himalayas.app/companies/kbr-inc/jobs/sr-operations-research-analyst-data-science-2354165914", "Himalayas")</f>
        <v>Himalayas</v>
      </c>
      <c r="H302" s="5">
        <v>46069.0</v>
      </c>
      <c r="I302" s="6"/>
    </row>
    <row r="303">
      <c r="A303" s="2" t="s">
        <v>484</v>
      </c>
      <c r="B303" s="6"/>
      <c r="C303" s="2" t="s">
        <v>22</v>
      </c>
      <c r="D303" s="2" t="s">
        <v>44</v>
      </c>
      <c r="E303" s="2" t="s">
        <v>279</v>
      </c>
      <c r="F303" s="3">
        <v>-1.8</v>
      </c>
      <c r="G303" s="4" t="str">
        <f>HYPERLINK("https://himalayas.app/companies/progressive-leasing/jobs/principal-software-engineer", "Himalayas")</f>
        <v>Himalayas</v>
      </c>
      <c r="H303" s="5">
        <v>46069.0</v>
      </c>
      <c r="I303" s="6"/>
    </row>
    <row r="304">
      <c r="A304" s="2" t="s">
        <v>485</v>
      </c>
      <c r="B304" s="2" t="s">
        <v>97</v>
      </c>
      <c r="C304" s="2" t="s">
        <v>17</v>
      </c>
      <c r="D304" s="2" t="s">
        <v>18</v>
      </c>
      <c r="E304" s="2" t="s">
        <v>457</v>
      </c>
      <c r="F304" s="3">
        <v>-1.9</v>
      </c>
      <c r="G304" s="4" t="str">
        <f>HYPERLINK("https://tr.linkedin.com/jobs/view/senior-r-d-team-lead-software-electronics-ai-embedded-full-stack-architect-at-rail-acoustic-4361796944", "LinkedIn")</f>
        <v>LinkedIn</v>
      </c>
      <c r="H304" s="5">
        <v>46063.0</v>
      </c>
      <c r="I304" s="6"/>
    </row>
    <row r="305">
      <c r="A305" s="2" t="s">
        <v>486</v>
      </c>
      <c r="B305" s="2" t="s">
        <v>487</v>
      </c>
      <c r="C305" s="2" t="s">
        <v>63</v>
      </c>
      <c r="D305" s="2" t="s">
        <v>44</v>
      </c>
      <c r="E305" s="2" t="s">
        <v>279</v>
      </c>
      <c r="F305" s="3">
        <v>-2.1</v>
      </c>
      <c r="G305" s="4" t="str">
        <f>HYPERLINK("https://himalayas.app/companies/kraken/jobs/senior-software-engineer-frontend-growth-insights-1468385278", "Himalayas")</f>
        <v>Himalayas</v>
      </c>
      <c r="H305" s="5">
        <v>46084.0</v>
      </c>
      <c r="I305" s="6"/>
    </row>
    <row r="306">
      <c r="A306" s="2" t="s">
        <v>488</v>
      </c>
      <c r="B306" s="2" t="s">
        <v>489</v>
      </c>
      <c r="C306" s="2" t="s">
        <v>44</v>
      </c>
      <c r="D306" s="2" t="s">
        <v>41</v>
      </c>
      <c r="E306" s="2" t="s">
        <v>457</v>
      </c>
      <c r="F306" s="3">
        <v>-2.2</v>
      </c>
      <c r="G306" s="4" t="str">
        <f>HYPERLINK("https://himalayas.app/companies/world-business-lenders/jobs/remote-payroll-team-lead-223521408", "Himalayas")</f>
        <v>Himalayas</v>
      </c>
      <c r="H306" s="5">
        <v>46084.0</v>
      </c>
      <c r="I306" s="6"/>
    </row>
    <row r="307">
      <c r="A307" s="2" t="s">
        <v>488</v>
      </c>
      <c r="B307" s="2" t="s">
        <v>489</v>
      </c>
      <c r="C307" s="2" t="s">
        <v>44</v>
      </c>
      <c r="D307" s="2" t="s">
        <v>41</v>
      </c>
      <c r="E307" s="2" t="s">
        <v>457</v>
      </c>
      <c r="F307" s="3">
        <v>-2.2</v>
      </c>
      <c r="G307" s="4" t="str">
        <f>HYPERLINK("https://himalayas.app/companies/world-business-lenders/jobs/remote-payroll-team-lead-2714309629", "Himalayas")</f>
        <v>Himalayas</v>
      </c>
      <c r="H307" s="5">
        <v>46084.0</v>
      </c>
      <c r="I307" s="6"/>
    </row>
    <row r="308">
      <c r="A308" s="2" t="s">
        <v>490</v>
      </c>
      <c r="B308" s="2"/>
      <c r="C308" s="2" t="s">
        <v>44</v>
      </c>
      <c r="D308" s="2" t="s">
        <v>276</v>
      </c>
      <c r="E308" s="2" t="s">
        <v>279</v>
      </c>
      <c r="F308" s="3">
        <v>-2.3</v>
      </c>
      <c r="G308" s="4" t="str">
        <f>HYPERLINK("https://himalayas.app/companies/saxovent/jobs/senior-projektentwickler-in-fur-erneuerbare-energieprojekte-all-genders", "Himalayas")</f>
        <v>Himalayas</v>
      </c>
      <c r="H308" s="5">
        <v>46084.0</v>
      </c>
      <c r="I308" s="6"/>
    </row>
    <row r="309">
      <c r="A309" s="2" t="s">
        <v>491</v>
      </c>
      <c r="B309" s="2"/>
      <c r="C309" s="2" t="s">
        <v>44</v>
      </c>
      <c r="D309" s="2" t="s">
        <v>276</v>
      </c>
      <c r="E309" s="2" t="s">
        <v>279</v>
      </c>
      <c r="F309" s="3">
        <v>-2.3</v>
      </c>
      <c r="G309" s="4" t="str">
        <f>HYPERLINK("https://himalayas.app/companies/solakon/jobs/senior-crm-manager-m-w-d", "Himalayas")</f>
        <v>Himalayas</v>
      </c>
      <c r="H309" s="5">
        <v>46084.0</v>
      </c>
      <c r="I309" s="6"/>
    </row>
    <row r="310">
      <c r="A310" s="2" t="s">
        <v>492</v>
      </c>
      <c r="B310" s="2"/>
      <c r="C310" s="2" t="s">
        <v>100</v>
      </c>
      <c r="D310" s="2" t="s">
        <v>12</v>
      </c>
      <c r="E310" s="2" t="s">
        <v>457</v>
      </c>
      <c r="F310" s="3">
        <v>-2.4</v>
      </c>
      <c r="G310" s="4" t="str">
        <f>HYPERLINK("https://himalayas.app/companies/birlasoft/jobs/technical-lead-app-development", "Himalayas")</f>
        <v>Himalayas</v>
      </c>
      <c r="H310" s="5">
        <v>46084.0</v>
      </c>
      <c r="I310" s="6"/>
    </row>
    <row r="311">
      <c r="A311" s="2" t="s">
        <v>493</v>
      </c>
      <c r="B311" s="2"/>
      <c r="C311" s="2" t="s">
        <v>44</v>
      </c>
      <c r="D311" s="2" t="s">
        <v>44</v>
      </c>
      <c r="E311" s="2" t="s">
        <v>279</v>
      </c>
      <c r="F311" s="3">
        <v>-2.7</v>
      </c>
      <c r="G311" s="4" t="str">
        <f>HYPERLINK("https://himalayas.app/companies/wing-assistant/jobs/content-community-specialist", "Himalayas")</f>
        <v>Himalayas</v>
      </c>
      <c r="H311" s="5">
        <v>46084.0</v>
      </c>
      <c r="I311" s="6"/>
    </row>
    <row r="312">
      <c r="A312" s="2" t="s">
        <v>494</v>
      </c>
      <c r="B312" s="6"/>
      <c r="C312" s="2" t="s">
        <v>44</v>
      </c>
      <c r="D312" s="2" t="s">
        <v>44</v>
      </c>
      <c r="E312" s="2" t="s">
        <v>279</v>
      </c>
      <c r="F312" s="3">
        <v>-2.7</v>
      </c>
      <c r="G312" s="4" t="str">
        <f>HYPERLINK("https://himalayas.app/companies/brightspring-health-services/jobs/family-care-specialist", "Himalayas")</f>
        <v>Himalayas</v>
      </c>
      <c r="H312" s="5">
        <v>46084.0</v>
      </c>
      <c r="I312" s="6"/>
    </row>
    <row r="313">
      <c r="A313" s="2" t="s">
        <v>495</v>
      </c>
      <c r="B313" s="6"/>
      <c r="C313" s="2" t="s">
        <v>44</v>
      </c>
      <c r="D313" s="2" t="s">
        <v>44</v>
      </c>
      <c r="E313" s="2" t="s">
        <v>279</v>
      </c>
      <c r="F313" s="3">
        <v>-2.7</v>
      </c>
      <c r="G313" s="4" t="str">
        <f>HYPERLINK("https://himalayas.app/companies/exactcare-pharmacy-llc/jobs/staff-accountant", "Himalayas")</f>
        <v>Himalayas</v>
      </c>
      <c r="H313" s="5">
        <v>46069.0</v>
      </c>
      <c r="I313" s="6"/>
    </row>
    <row r="314">
      <c r="A314" s="2" t="s">
        <v>496</v>
      </c>
      <c r="B314" s="6"/>
      <c r="C314" s="2" t="s">
        <v>44</v>
      </c>
      <c r="D314" s="2" t="s">
        <v>44</v>
      </c>
      <c r="E314" s="2" t="s">
        <v>279</v>
      </c>
      <c r="F314" s="3">
        <v>-2.7</v>
      </c>
      <c r="G314" s="4" t="str">
        <f>HYPERLINK("https://himalayas.app/companies/ourxplor/jobs/senior-product-manager", "Himalayas")</f>
        <v>Himalayas</v>
      </c>
      <c r="H314" s="5">
        <v>46069.0</v>
      </c>
      <c r="I314" s="6"/>
    </row>
    <row r="315">
      <c r="A315" s="2" t="s">
        <v>497</v>
      </c>
      <c r="B315" s="6"/>
      <c r="C315" s="2" t="s">
        <v>44</v>
      </c>
      <c r="D315" s="2" t="s">
        <v>44</v>
      </c>
      <c r="E315" s="2" t="s">
        <v>279</v>
      </c>
      <c r="F315" s="3">
        <v>-2.7</v>
      </c>
      <c r="G315" s="4" t="str">
        <f>HYPERLINK("https://himalayas.app/companies/traba/jobs/operations-specialist-6203959757", "Himalayas")</f>
        <v>Himalayas</v>
      </c>
      <c r="H315" s="5">
        <v>46069.0</v>
      </c>
      <c r="I315" s="6"/>
    </row>
    <row r="316">
      <c r="A316" s="2" t="s">
        <v>498</v>
      </c>
      <c r="B316" s="2" t="s">
        <v>499</v>
      </c>
      <c r="C316" s="2" t="s">
        <v>44</v>
      </c>
      <c r="D316" s="2" t="s">
        <v>44</v>
      </c>
      <c r="E316" s="2" t="s">
        <v>279</v>
      </c>
      <c r="F316" s="3">
        <v>-2.7</v>
      </c>
      <c r="G316" s="4" t="str">
        <f>HYPERLINK("https://himalayas.app/companies/itw/jobs/itw-welding-product-specialist-ontario-canada", "Himalayas")</f>
        <v>Himalayas</v>
      </c>
      <c r="H316" s="5">
        <v>46069.0</v>
      </c>
      <c r="I316" s="6"/>
    </row>
    <row r="317">
      <c r="A317" s="2" t="s">
        <v>500</v>
      </c>
      <c r="B317" s="6"/>
      <c r="C317" s="2" t="s">
        <v>44</v>
      </c>
      <c r="D317" s="2" t="s">
        <v>44</v>
      </c>
      <c r="E317" s="2" t="s">
        <v>279</v>
      </c>
      <c r="F317" s="3">
        <v>-2.7</v>
      </c>
      <c r="G317" s="4" t="str">
        <f>HYPERLINK("https://himalayas.app/companies/csg/jobs/procurement-specialist", "Himalayas")</f>
        <v>Himalayas</v>
      </c>
      <c r="H317" s="5">
        <v>46069.0</v>
      </c>
      <c r="I317" s="6"/>
    </row>
    <row r="318">
      <c r="A318" s="2" t="s">
        <v>501</v>
      </c>
      <c r="B318" s="2" t="s">
        <v>502</v>
      </c>
      <c r="C318" s="2" t="s">
        <v>44</v>
      </c>
      <c r="D318" s="2" t="s">
        <v>12</v>
      </c>
      <c r="E318" s="2" t="s">
        <v>457</v>
      </c>
      <c r="F318" s="3">
        <v>-3.0</v>
      </c>
      <c r="G318" s="4" t="str">
        <f>HYPERLINK("https://tr.linkedin.com/jobs/view/yaz%C4%B1l%C4%B1m-destek-tak%C4%B1m-lideri-at-octet-turkey-4375911669", "LinkedIn")</f>
        <v>LinkedIn</v>
      </c>
      <c r="H318" s="5">
        <v>46080.0</v>
      </c>
      <c r="I318" s="6"/>
    </row>
    <row r="319">
      <c r="A319" s="2" t="s">
        <v>501</v>
      </c>
      <c r="B319" s="2" t="s">
        <v>502</v>
      </c>
      <c r="C319" s="2" t="s">
        <v>44</v>
      </c>
      <c r="D319" s="2" t="s">
        <v>12</v>
      </c>
      <c r="E319" s="2" t="s">
        <v>457</v>
      </c>
      <c r="F319" s="3">
        <v>-3.0</v>
      </c>
      <c r="G319" s="4" t="str">
        <f>HYPERLINK("https://tr.linkedin.com/jobs/view/yaz%C4%B1l%C4%B1m-destek-tak%C4%B1m-lideri-at-octet-turkey-4353901696", "LinkedIn")</f>
        <v>LinkedIn</v>
      </c>
      <c r="H319" s="5">
        <v>46041.0</v>
      </c>
      <c r="I319" s="6"/>
    </row>
  </sheetData>
  <conditionalFormatting sqref="A2:I319">
    <cfRule type="expression" dxfId="5" priority="1" stopIfTrue="1">
      <formula>$I2="Görüşmede"</formula>
    </cfRule>
  </conditionalFormatting>
  <conditionalFormatting sqref="A2:I319">
    <cfRule type="expression" dxfId="5" priority="2" stopIfTrue="1">
      <formula>$I2="Mülakat"</formula>
    </cfRule>
  </conditionalFormatting>
  <conditionalFormatting sqref="A2:I319">
    <cfRule type="expression" dxfId="5" priority="3" stopIfTrue="1">
      <formula>$I2="İşe Alındı"</formula>
    </cfRule>
  </conditionalFormatting>
  <conditionalFormatting sqref="A2:I319">
    <cfRule type="expression" dxfId="6" priority="4" stopIfTrue="1">
      <formula>$I2="Favori"</formula>
    </cfRule>
  </conditionalFormatting>
  <conditionalFormatting sqref="A2:I319">
    <cfRule type="expression" dxfId="7" priority="5" stopIfTrue="1">
      <formula>$I2="Başvuruldu"</formula>
    </cfRule>
  </conditionalFormatting>
  <conditionalFormatting sqref="A2:I319">
    <cfRule type="expression" dxfId="8" priority="6" stopIfTrue="1">
      <formula>$I2="Süre Bitti"</formula>
    </cfRule>
  </conditionalFormatting>
  <conditionalFormatting sqref="A2:I319">
    <cfRule type="expression" dxfId="8" priority="7" stopIfTrue="1">
      <formula>$I2="Ulaşılamaz"</formula>
    </cfRule>
  </conditionalFormatting>
  <conditionalFormatting sqref="A2:I319">
    <cfRule type="expression" dxfId="8" priority="8" stopIfTrue="1">
      <formula>$I2="Reddedildi"</formula>
    </cfRule>
  </conditionalFormatting>
  <conditionalFormatting sqref="A2:I319">
    <cfRule type="expression" dxfId="5" priority="9" stopIfTrue="1">
      <formula>$I2="Görüşmede"</formula>
    </cfRule>
  </conditionalFormatting>
  <conditionalFormatting sqref="A2:I319">
    <cfRule type="expression" dxfId="5" priority="10" stopIfTrue="1">
      <formula>$I2="Mülakat"</formula>
    </cfRule>
  </conditionalFormatting>
  <conditionalFormatting sqref="A2:I319">
    <cfRule type="expression" dxfId="5" priority="11" stopIfTrue="1">
      <formula>$I2="İşe Alındı"</formula>
    </cfRule>
  </conditionalFormatting>
  <conditionalFormatting sqref="A2:I319">
    <cfRule type="expression" dxfId="6" priority="12" stopIfTrue="1">
      <formula>$I2="Favori"</formula>
    </cfRule>
  </conditionalFormatting>
  <conditionalFormatting sqref="A2:I319">
    <cfRule type="expression" dxfId="7" priority="13" stopIfTrue="1">
      <formula>$I2="Başvuruldu"</formula>
    </cfRule>
  </conditionalFormatting>
  <conditionalFormatting sqref="A2:I319">
    <cfRule type="expression" dxfId="8" priority="14" stopIfTrue="1">
      <formula>$I2="Süre Bitti"</formula>
    </cfRule>
  </conditionalFormatting>
  <conditionalFormatting sqref="A2:I319">
    <cfRule type="expression" dxfId="8" priority="15" stopIfTrue="1">
      <formula>$I2="Ulaşılamaz"</formula>
    </cfRule>
  </conditionalFormatting>
  <conditionalFormatting sqref="A2:I319">
    <cfRule type="expression" dxfId="8" priority="16" stopIfTrue="1">
      <formula>$I2="Reddedildi"</formula>
    </cfRule>
  </conditionalFormatting>
  <conditionalFormatting sqref="A2:I319">
    <cfRule type="expression" dxfId="5" priority="17" stopIfTrue="1">
      <formula>$I2="Görüşmede"</formula>
    </cfRule>
  </conditionalFormatting>
  <conditionalFormatting sqref="A2:I319">
    <cfRule type="expression" dxfId="5" priority="18" stopIfTrue="1">
      <formula>$I2="Mülakat"</formula>
    </cfRule>
  </conditionalFormatting>
  <conditionalFormatting sqref="A2:I319">
    <cfRule type="expression" dxfId="5" priority="19" stopIfTrue="1">
      <formula>$I2="İşe Alındı"</formula>
    </cfRule>
  </conditionalFormatting>
  <conditionalFormatting sqref="A2:I319">
    <cfRule type="expression" dxfId="6" priority="20" stopIfTrue="1">
      <formula>$I2="Favori"</formula>
    </cfRule>
  </conditionalFormatting>
  <conditionalFormatting sqref="A2:I319">
    <cfRule type="expression" dxfId="7" priority="21" stopIfTrue="1">
      <formula>$I2="Başvuruldu"</formula>
    </cfRule>
  </conditionalFormatting>
  <conditionalFormatting sqref="A2:I319">
    <cfRule type="expression" dxfId="8" priority="22" stopIfTrue="1">
      <formula>$I2="Süre Bitti"</formula>
    </cfRule>
  </conditionalFormatting>
  <conditionalFormatting sqref="A2:I319">
    <cfRule type="expression" dxfId="8" priority="23" stopIfTrue="1">
      <formula>$I2="Ulaşılamaz"</formula>
    </cfRule>
  </conditionalFormatting>
  <conditionalFormatting sqref="A2:I319">
    <cfRule type="expression" dxfId="8" priority="24" stopIfTrue="1">
      <formula>$I2="Reddedildi"</formula>
    </cfRule>
  </conditionalFormatting>
  <conditionalFormatting sqref="A2:I319">
    <cfRule type="expression" dxfId="9" priority="25" stopIfTrue="1">
      <formula>$I2="Görüşmede"</formula>
    </cfRule>
  </conditionalFormatting>
  <conditionalFormatting sqref="A2:I319">
    <cfRule type="expression" dxfId="9" priority="26" stopIfTrue="1">
      <formula>$I2="Mülakat"</formula>
    </cfRule>
  </conditionalFormatting>
  <conditionalFormatting sqref="A2:I319">
    <cfRule type="expression" dxfId="9" priority="27" stopIfTrue="1">
      <formula>$I2="İşe Alındı"</formula>
    </cfRule>
  </conditionalFormatting>
  <conditionalFormatting sqref="A2:I319">
    <cfRule type="expression" dxfId="10" priority="28" stopIfTrue="1">
      <formula>$I2="Favori"</formula>
    </cfRule>
  </conditionalFormatting>
  <conditionalFormatting sqref="A2:I319">
    <cfRule type="expression" dxfId="11" priority="29" stopIfTrue="1">
      <formula>$I2="Başvuruldu"</formula>
    </cfRule>
  </conditionalFormatting>
  <conditionalFormatting sqref="A2:I319">
    <cfRule type="expression" dxfId="12" priority="30" stopIfTrue="1">
      <formula>$I2="Süre Bitti"</formula>
    </cfRule>
  </conditionalFormatting>
  <conditionalFormatting sqref="A2:I319">
    <cfRule type="expression" dxfId="12" priority="31" stopIfTrue="1">
      <formula>$I2="Ulaşılamaz"</formula>
    </cfRule>
  </conditionalFormatting>
  <conditionalFormatting sqref="A2:I319">
    <cfRule type="expression" dxfId="12" priority="32" stopIfTrue="1">
      <formula>$I2="Reddedildi"</formula>
    </cfRule>
  </conditionalFormatting>
  <conditionalFormatting sqref="A2:I319">
    <cfRule type="expression" dxfId="13" priority="33" stopIfTrue="1">
      <formula>$I2="Görüşmede"</formula>
    </cfRule>
  </conditionalFormatting>
  <conditionalFormatting sqref="A2:I319">
    <cfRule type="expression" dxfId="13" priority="34" stopIfTrue="1">
      <formula>$I2="Mülakat"</formula>
    </cfRule>
  </conditionalFormatting>
  <conditionalFormatting sqref="A2:I319">
    <cfRule type="expression" dxfId="13" priority="35" stopIfTrue="1">
      <formula>$I2="İşe Alındı"</formula>
    </cfRule>
  </conditionalFormatting>
  <conditionalFormatting sqref="A2:I319">
    <cfRule type="expression" dxfId="14" priority="36" stopIfTrue="1">
      <formula>$I2="Favori"</formula>
    </cfRule>
  </conditionalFormatting>
  <conditionalFormatting sqref="A2:I319">
    <cfRule type="expression" dxfId="15" priority="37" stopIfTrue="1">
      <formula>$I2="Başvuruldu"</formula>
    </cfRule>
  </conditionalFormatting>
  <conditionalFormatting sqref="A2:I319">
    <cfRule type="expression" dxfId="16" priority="38" stopIfTrue="1">
      <formula>$I2="Süre Bitti"</formula>
    </cfRule>
  </conditionalFormatting>
  <conditionalFormatting sqref="A2:I319">
    <cfRule type="expression" dxfId="16" priority="39" stopIfTrue="1">
      <formula>$I2="Ulaşılamaz"</formula>
    </cfRule>
  </conditionalFormatting>
  <conditionalFormatting sqref="A2:I319">
    <cfRule type="expression" dxfId="16" priority="40" stopIfTrue="1">
      <formula>$I2="Reddedildi"</formula>
    </cfRule>
  </conditionalFormatting>
  <conditionalFormatting sqref="A2:I319">
    <cfRule type="expression" dxfId="13" priority="41" stopIfTrue="1">
      <formula>$I2="Görüşmede"</formula>
    </cfRule>
  </conditionalFormatting>
  <conditionalFormatting sqref="A2:I319">
    <cfRule type="expression" dxfId="13" priority="42" stopIfTrue="1">
      <formula>$I2="Mülakat"</formula>
    </cfRule>
  </conditionalFormatting>
  <conditionalFormatting sqref="A2:I319">
    <cfRule type="expression" dxfId="13" priority="43" stopIfTrue="1">
      <formula>$I2="İşe Alındı"</formula>
    </cfRule>
  </conditionalFormatting>
  <conditionalFormatting sqref="A2:I319">
    <cfRule type="expression" dxfId="14" priority="44" stopIfTrue="1">
      <formula>$I2="Favori"</formula>
    </cfRule>
  </conditionalFormatting>
  <conditionalFormatting sqref="A2:I319">
    <cfRule type="expression" dxfId="15" priority="45" stopIfTrue="1">
      <formula>$I2="Başvuruldu"</formula>
    </cfRule>
  </conditionalFormatting>
  <conditionalFormatting sqref="A2:I319">
    <cfRule type="expression" dxfId="16" priority="46" stopIfTrue="1">
      <formula>$I2="Süre Bitti"</formula>
    </cfRule>
  </conditionalFormatting>
  <conditionalFormatting sqref="A2:I319">
    <cfRule type="expression" dxfId="16" priority="47" stopIfTrue="1">
      <formula>$I2="Ulaşılamaz"</formula>
    </cfRule>
  </conditionalFormatting>
  <conditionalFormatting sqref="A2:I319">
    <cfRule type="expression" dxfId="16" priority="48" stopIfTrue="1">
      <formula>$I2="Reddedildi"</formula>
    </cfRule>
  </conditionalFormatting>
  <conditionalFormatting sqref="A2:I319">
    <cfRule type="expression" dxfId="17" priority="49" stopIfTrue="1">
      <formula>$I2="Görüşmede"</formula>
    </cfRule>
  </conditionalFormatting>
  <conditionalFormatting sqref="A2:I319">
    <cfRule type="expression" dxfId="17" priority="50" stopIfTrue="1">
      <formula>$I2="Mülakat"</formula>
    </cfRule>
  </conditionalFormatting>
  <conditionalFormatting sqref="A2:I319">
    <cfRule type="expression" dxfId="17" priority="51" stopIfTrue="1">
      <formula>$I2="İşe Alındı"</formula>
    </cfRule>
  </conditionalFormatting>
  <conditionalFormatting sqref="A2:I319">
    <cfRule type="expression" dxfId="18" priority="52" stopIfTrue="1">
      <formula>$I2="Favori"</formula>
    </cfRule>
  </conditionalFormatting>
  <conditionalFormatting sqref="A2:I319">
    <cfRule type="expression" dxfId="19" priority="53" stopIfTrue="1">
      <formula>$I2="Başvuruldu"</formula>
    </cfRule>
  </conditionalFormatting>
  <conditionalFormatting sqref="A2:I319">
    <cfRule type="expression" dxfId="20" priority="54" stopIfTrue="1">
      <formula>$I2="Süre Bitti"</formula>
    </cfRule>
  </conditionalFormatting>
  <conditionalFormatting sqref="A2:I319">
    <cfRule type="expression" dxfId="20" priority="55" stopIfTrue="1">
      <formula>$I2="Ulaşılamaz"</formula>
    </cfRule>
  </conditionalFormatting>
  <conditionalFormatting sqref="A2:I319">
    <cfRule type="expression" dxfId="20" priority="56" stopIfTrue="1">
      <formula>$I2="Reddedildi"</formula>
    </cfRule>
  </conditionalFormatting>
  <conditionalFormatting sqref="A2:I319">
    <cfRule type="expression" dxfId="13" priority="57" stopIfTrue="1">
      <formula>$I2="Görüşmede"</formula>
    </cfRule>
  </conditionalFormatting>
  <conditionalFormatting sqref="A2:I319">
    <cfRule type="expression" dxfId="13" priority="58" stopIfTrue="1">
      <formula>$I2="Mülakat"</formula>
    </cfRule>
  </conditionalFormatting>
  <conditionalFormatting sqref="A2:I319">
    <cfRule type="expression" dxfId="13" priority="59" stopIfTrue="1">
      <formula>$I2="İşe Alındı"</formula>
    </cfRule>
  </conditionalFormatting>
  <conditionalFormatting sqref="A2:I319">
    <cfRule type="expression" dxfId="14" priority="60" stopIfTrue="1">
      <formula>$I2="Favori"</formula>
    </cfRule>
  </conditionalFormatting>
  <conditionalFormatting sqref="A2:I319">
    <cfRule type="expression" dxfId="15" priority="61" stopIfTrue="1">
      <formula>$I2="Başvuruldu"</formula>
    </cfRule>
  </conditionalFormatting>
  <conditionalFormatting sqref="A2:I319">
    <cfRule type="expression" dxfId="16" priority="62" stopIfTrue="1">
      <formula>$I2="Süre Bitti"</formula>
    </cfRule>
  </conditionalFormatting>
  <conditionalFormatting sqref="A2:I319">
    <cfRule type="expression" dxfId="16" priority="63" stopIfTrue="1">
      <formula>$I2="Ulaşılamaz"</formula>
    </cfRule>
  </conditionalFormatting>
  <conditionalFormatting sqref="A2:I319">
    <cfRule type="expression" dxfId="16" priority="64" stopIfTrue="1">
      <formula>$I2="Reddedildi"</formula>
    </cfRule>
  </conditionalFormatting>
  <conditionalFormatting sqref="A2:I319">
    <cfRule type="expression" dxfId="21" priority="65" stopIfTrue="1">
      <formula>$I2="Görüşmede"</formula>
    </cfRule>
  </conditionalFormatting>
  <conditionalFormatting sqref="A2:I319">
    <cfRule type="expression" dxfId="21" priority="66" stopIfTrue="1">
      <formula>$I2="Mülakat"</formula>
    </cfRule>
  </conditionalFormatting>
  <conditionalFormatting sqref="A2:I319">
    <cfRule type="expression" dxfId="21" priority="67" stopIfTrue="1">
      <formula>$I2="İşe Alındı"</formula>
    </cfRule>
  </conditionalFormatting>
  <conditionalFormatting sqref="A2:I319">
    <cfRule type="expression" dxfId="22" priority="68" stopIfTrue="1">
      <formula>$I2="Favori"</formula>
    </cfRule>
  </conditionalFormatting>
  <conditionalFormatting sqref="A2:I319">
    <cfRule type="expression" dxfId="23" priority="69" stopIfTrue="1">
      <formula>$I2="Başvuruldu"</formula>
    </cfRule>
  </conditionalFormatting>
  <conditionalFormatting sqref="A2:I319">
    <cfRule type="expression" dxfId="24" priority="70" stopIfTrue="1">
      <formula>$I2="Süre Bitti"</formula>
    </cfRule>
  </conditionalFormatting>
  <conditionalFormatting sqref="A2:I319">
    <cfRule type="expression" dxfId="24" priority="71" stopIfTrue="1">
      <formula>$I2="Ulaşılamaz"</formula>
    </cfRule>
  </conditionalFormatting>
  <conditionalFormatting sqref="A2:I319">
    <cfRule type="expression" dxfId="24" priority="72" stopIfTrue="1">
      <formula>$I2="Reddedildi"</formula>
    </cfRule>
  </conditionalFormatting>
  <conditionalFormatting sqref="A2:I319">
    <cfRule type="expression" dxfId="21" priority="73" stopIfTrue="1">
      <formula>$I2="Görüşmede"</formula>
    </cfRule>
  </conditionalFormatting>
  <conditionalFormatting sqref="A2:I319">
    <cfRule type="expression" dxfId="21" priority="74" stopIfTrue="1">
      <formula>$I2="Mülakat"</formula>
    </cfRule>
  </conditionalFormatting>
  <conditionalFormatting sqref="A2:I319">
    <cfRule type="expression" dxfId="21" priority="75" stopIfTrue="1">
      <formula>$I2="İşe Alındı"</formula>
    </cfRule>
  </conditionalFormatting>
  <conditionalFormatting sqref="A2:I319">
    <cfRule type="expression" dxfId="22" priority="76" stopIfTrue="1">
      <formula>$I2="Favori"</formula>
    </cfRule>
  </conditionalFormatting>
  <conditionalFormatting sqref="A2:I319">
    <cfRule type="expression" dxfId="23" priority="77" stopIfTrue="1">
      <formula>$I2="Başvuruldu"</formula>
    </cfRule>
  </conditionalFormatting>
  <conditionalFormatting sqref="A2:I319">
    <cfRule type="expression" dxfId="24" priority="78" stopIfTrue="1">
      <formula>$I2="Süre Bitti"</formula>
    </cfRule>
  </conditionalFormatting>
  <conditionalFormatting sqref="A2:I319">
    <cfRule type="expression" dxfId="24" priority="79" stopIfTrue="1">
      <formula>$I2="Ulaşılamaz"</formula>
    </cfRule>
  </conditionalFormatting>
  <conditionalFormatting sqref="A2:I319">
    <cfRule type="expression" dxfId="24" priority="80" stopIfTrue="1">
      <formula>$I2="Reddedildi"</formula>
    </cfRule>
  </conditionalFormatting>
  <conditionalFormatting sqref="A1:I1">
    <cfRule type="notContainsBlanks" dxfId="25" priority="81">
      <formula>LEN(TRIM(A1))&gt;0</formula>
    </cfRule>
  </conditionalFormatting>
  <dataValidations>
    <dataValidation type="list" allowBlank="1" showErrorMessage="1" sqref="I2:I319">
      <formula1>"Favori,Başvuruldu,Reddedildi,Görüşmede,Mülakat,İşe Alındı,Süre Bitti,Ulaşılamaz"</formula1>
    </dataValidation>
  </dataValidations>
  <hyperlinks>
    <hyperlink r:id="rId1" ref="B168"/>
  </hyperlinks>
  <drawing r:id="rId2"/>
  <tableParts count="1">
    <tablePart r:id="rId4"/>
  </tableParts>
</worksheet>
</file>